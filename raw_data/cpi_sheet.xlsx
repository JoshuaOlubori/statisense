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statisense\"/>
    </mc:Choice>
  </mc:AlternateContent>
  <xr:revisionPtr revIDLastSave="0" documentId="8_{D20FEA27-2D31-4B92-84CB-463DADB5D6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PI sheet" sheetId="1" r:id="rId1"/>
    <sheet name="GDP (Workings)" sheetId="2" state="hidden" r:id="rId2"/>
    <sheet name="GDP sheet" sheetId="3" r:id="rId3"/>
    <sheet name="GDP" sheetId="4" state="hidden" r:id="rId4"/>
    <sheet name="COMPANY PAT" sheetId="5" r:id="rId5"/>
    <sheet name="CPI" sheetId="6" state="hidden" r:id="rId6"/>
  </sheets>
  <calcPr calcId="181029"/>
</workbook>
</file>

<file path=xl/calcChain.xml><?xml version="1.0" encoding="utf-8"?>
<calcChain xmlns="http://schemas.openxmlformats.org/spreadsheetml/2006/main">
  <c r="K44" i="2" l="1"/>
  <c r="J44" i="2"/>
  <c r="I44" i="2"/>
  <c r="G44" i="2"/>
  <c r="F44" i="2"/>
  <c r="E44" i="2"/>
  <c r="D44" i="2"/>
  <c r="C44" i="2"/>
  <c r="B44" i="2"/>
  <c r="K38" i="2"/>
  <c r="J38" i="2"/>
  <c r="I38" i="2"/>
  <c r="G38" i="2"/>
  <c r="F38" i="2"/>
  <c r="E38" i="2"/>
  <c r="D38" i="2"/>
  <c r="C38" i="2"/>
  <c r="B38" i="2"/>
  <c r="K31" i="2"/>
  <c r="J31" i="2"/>
  <c r="I31" i="2"/>
  <c r="G31" i="2"/>
  <c r="F31" i="2"/>
  <c r="E31" i="2"/>
  <c r="D31" i="2"/>
  <c r="C31" i="2"/>
  <c r="B31" i="2"/>
  <c r="K12" i="2"/>
  <c r="J12" i="2"/>
  <c r="I12" i="2"/>
  <c r="G12" i="2"/>
  <c r="F12" i="2"/>
  <c r="E12" i="2"/>
  <c r="D12" i="2"/>
  <c r="C12" i="2"/>
  <c r="B12" i="2"/>
  <c r="K7" i="2"/>
  <c r="J7" i="2"/>
  <c r="I7" i="2"/>
  <c r="G7" i="2"/>
  <c r="F7" i="2"/>
  <c r="E7" i="2"/>
  <c r="D7" i="2"/>
  <c r="C7" i="2"/>
  <c r="B7" i="2"/>
  <c r="K2" i="2"/>
  <c r="J2" i="2"/>
  <c r="I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<sst xmlns="http://schemas.openxmlformats.org/spreadsheetml/2006/main" count="173" uniqueCount="131">
  <si>
    <t>CPI Breakdown for Nigeria</t>
  </si>
  <si>
    <t>2024 Dec</t>
  </si>
  <si>
    <t>2023 Dec</t>
  </si>
  <si>
    <t>2022 Dec</t>
  </si>
  <si>
    <t>2021 Dec</t>
  </si>
  <si>
    <t>2020 Dec</t>
  </si>
  <si>
    <t>2019 Dec</t>
  </si>
  <si>
    <t>2018 Dec</t>
  </si>
  <si>
    <t>2017 Dec</t>
  </si>
  <si>
    <t>2016 Dec</t>
  </si>
  <si>
    <t>2015 Dec</t>
  </si>
  <si>
    <t>All Items</t>
  </si>
  <si>
    <t xml:space="preserve">All Items less Farm Produce. </t>
  </si>
  <si>
    <t>All Items less Farm Produce. and Energy</t>
  </si>
  <si>
    <t>Imported Food</t>
  </si>
  <si>
    <t>Food</t>
  </si>
  <si>
    <t>Food &amp;  Non Alcoholic Bev.</t>
  </si>
  <si>
    <t>Alcoholic Beverage. Tobacco and Kola</t>
  </si>
  <si>
    <t>Clothing and Footwear</t>
  </si>
  <si>
    <t>Housing Water, Electricity. Gas and Other  Fuel</t>
  </si>
  <si>
    <t>Furnishings &amp; Household Equipment Maintenance.</t>
  </si>
  <si>
    <t>Health.</t>
  </si>
  <si>
    <t>Transport</t>
  </si>
  <si>
    <t>Communication</t>
  </si>
  <si>
    <t>Recreation &amp; Culture.</t>
  </si>
  <si>
    <t>Education</t>
  </si>
  <si>
    <t>Restaurant &amp;  Hotels</t>
  </si>
  <si>
    <t>Miscellaneous Goods &amp; Services</t>
  </si>
  <si>
    <t>Month-on (%)</t>
  </si>
  <si>
    <t>Year-on (%)</t>
  </si>
  <si>
    <t>12-month average (%)</t>
  </si>
  <si>
    <t>AGRICULTURE</t>
  </si>
  <si>
    <t xml:space="preserve">       1. Crop Production</t>
  </si>
  <si>
    <t xml:space="preserve">       2. Livestock</t>
  </si>
  <si>
    <t xml:space="preserve">       3.  Forestry</t>
  </si>
  <si>
    <t xml:space="preserve">       4.  Fishing</t>
  </si>
  <si>
    <t>MINING AND QUARRYING</t>
  </si>
  <si>
    <t xml:space="preserve">       5. Crude Petroleum and Natural Gas</t>
  </si>
  <si>
    <t xml:space="preserve">       6. Coal Mining</t>
  </si>
  <si>
    <t xml:space="preserve">       7.  Metal Ores</t>
  </si>
  <si>
    <t xml:space="preserve">       8. Quarrying and Other Minerals</t>
  </si>
  <si>
    <t>MANUFACTURING</t>
  </si>
  <si>
    <t xml:space="preserve">       9.  Oil Refining</t>
  </si>
  <si>
    <t xml:space="preserve">       10. Cement</t>
  </si>
  <si>
    <t xml:space="preserve">       11. Food, Beverage and Tobacco</t>
  </si>
  <si>
    <t xml:space="preserve">       12. Textile, Apparel and Footwear</t>
  </si>
  <si>
    <t xml:space="preserve">       13. Wood and Wood Products</t>
  </si>
  <si>
    <t xml:space="preserve">       14. Pulp, Paper and Paper  Products</t>
  </si>
  <si>
    <t xml:space="preserve">       15. Chemical and  Pharmaceutical Products </t>
  </si>
  <si>
    <t xml:space="preserve">       16. Non-Metallic Products</t>
  </si>
  <si>
    <t xml:space="preserve">       17. Plastic and Rubber products</t>
  </si>
  <si>
    <t xml:space="preserve">       18. Electrical and Electronics</t>
  </si>
  <si>
    <t xml:space="preserve">       19. Basic metal , Iron and Steel</t>
  </si>
  <si>
    <t xml:space="preserve">       20. Motor vehicles &amp;  assembly</t>
  </si>
  <si>
    <t xml:space="preserve">       21. Other Manufacturing</t>
  </si>
  <si>
    <t>22. ELECTRICITY, GAS ,STEAM AND AIR CONDITIONING SUPPLY</t>
  </si>
  <si>
    <t>23. WATER SUPPLY,SEWERAGE, WASTE MANAGEMENT AND REMEDIATION</t>
  </si>
  <si>
    <t>24. CONSTRUCTION</t>
  </si>
  <si>
    <t>25.  TRADE</t>
  </si>
  <si>
    <t>26. ACCOMMODATION AND FOOD SERVICES</t>
  </si>
  <si>
    <t>TRANSPORTATION AND STORAGE</t>
  </si>
  <si>
    <t xml:space="preserve">        27.  Road Transport</t>
  </si>
  <si>
    <t xml:space="preserve">        28.  Rail Transport &amp; Pipelines</t>
  </si>
  <si>
    <t xml:space="preserve">        29. Water Transport</t>
  </si>
  <si>
    <t xml:space="preserve">        30. Air Transport</t>
  </si>
  <si>
    <t xml:space="preserve">        31. Transport Services</t>
  </si>
  <si>
    <t xml:space="preserve">        32. Post and Courier Services</t>
  </si>
  <si>
    <t>INFORMATION AND COMMUNICATION</t>
  </si>
  <si>
    <t xml:space="preserve">          33. Telecommunications &amp; Information Services</t>
  </si>
  <si>
    <t xml:space="preserve">          34.  Publishing,  </t>
  </si>
  <si>
    <t xml:space="preserve">          34. Motion Pictures, Sound recording and  Music production    </t>
  </si>
  <si>
    <t xml:space="preserve">       36. Broadcasting</t>
  </si>
  <si>
    <t>37.ARTS, ENTERTAINMENT AND RECREATION</t>
  </si>
  <si>
    <t>FINANCIAL AND INSURANCE</t>
  </si>
  <si>
    <t xml:space="preserve">         38. Financial Institutions</t>
  </si>
  <si>
    <t xml:space="preserve">       39. Insurance</t>
  </si>
  <si>
    <t>40. REAL ESTATE</t>
  </si>
  <si>
    <t>41. PROFESSIONAL, SCIENTIFIC AND TECHNICAL SERVICES</t>
  </si>
  <si>
    <t>42. ADMINISTRATIVE &amp; SUPPORT SERVICES</t>
  </si>
  <si>
    <t>43. PUBLIC ADMINISTRATION</t>
  </si>
  <si>
    <t>44. EDUCATION</t>
  </si>
  <si>
    <t>45. HUMAN HEALTH AND SOCIAL SERVICES</t>
  </si>
  <si>
    <t>46. OTHER SERVICES</t>
  </si>
  <si>
    <t>Gross Domestic Product At 2010 Constant Basic Prices (=N=Million)</t>
  </si>
  <si>
    <t>SECTOR</t>
  </si>
  <si>
    <t>GDP SUB SECTOR</t>
  </si>
  <si>
    <t>Agriculture</t>
  </si>
  <si>
    <t>Manufacturing</t>
  </si>
  <si>
    <t>Oil &amp; Gas</t>
  </si>
  <si>
    <t>Power</t>
  </si>
  <si>
    <t>Water Supply, Waste Mgmt. &amp; Remediation</t>
  </si>
  <si>
    <t>Construction</t>
  </si>
  <si>
    <t>Services</t>
  </si>
  <si>
    <t>Trade</t>
  </si>
  <si>
    <t>Accommodation &amp; Food Services</t>
  </si>
  <si>
    <t>Transportation &amp; Storage</t>
  </si>
  <si>
    <t>Information and Communication</t>
  </si>
  <si>
    <t>Arts, Entertainment &amp; Recreation</t>
  </si>
  <si>
    <t>Financial and Insurance</t>
  </si>
  <si>
    <t>Real Estate</t>
  </si>
  <si>
    <t>Professional, Scientific and Technical Services</t>
  </si>
  <si>
    <t> Administrative &amp; Support Services</t>
  </si>
  <si>
    <t>Public Administration</t>
  </si>
  <si>
    <t>Human Health and Social Services</t>
  </si>
  <si>
    <t>Other Services</t>
  </si>
  <si>
    <t>2018 GDP</t>
  </si>
  <si>
    <t>2019 GDP</t>
  </si>
  <si>
    <t>2020 GDP</t>
  </si>
  <si>
    <t>2021 GDP</t>
  </si>
  <si>
    <t>2022 GDP</t>
  </si>
  <si>
    <t>Profit After Tax</t>
  </si>
  <si>
    <t>COMPANY</t>
  </si>
  <si>
    <t>Okomu Oil</t>
  </si>
  <si>
    <t>Conoil</t>
  </si>
  <si>
    <t>Nestle Niger</t>
  </si>
  <si>
    <t>Seplat Energy</t>
  </si>
  <si>
    <t>Dangote Cement</t>
  </si>
  <si>
    <t>Zenith Bank</t>
  </si>
  <si>
    <t>Information &amp; Communication – MTN</t>
  </si>
  <si>
    <t>All figures are in Millions of Naira</t>
  </si>
  <si>
    <t>Consumer Price Index (CPI) Components</t>
  </si>
  <si>
    <t>All items</t>
  </si>
  <si>
    <t>All Items less farm produce</t>
  </si>
  <si>
    <t>All Items less farm produce and energy</t>
  </si>
  <si>
    <t>Food and Alcoholic Bev</t>
  </si>
  <si>
    <t>Housing, Water, Electricity, Gas &amp; fuel</t>
  </si>
  <si>
    <t>Clothing and footwear</t>
  </si>
  <si>
    <t>Furnishings &amp; Household</t>
  </si>
  <si>
    <t>Health</t>
  </si>
  <si>
    <t>Recreation &amp; Culture</t>
  </si>
  <si>
    <t>Restaurant &amp; Hotels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</si>
</sst>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0000"/>
      <name val="Aptos Narrow"/>
    </font>
    <font>
      <sz val="11"/>
      <color theme="1"/>
      <name val="Arial"/>
    </font>
    <font>
      <sz val="11"/>
      <color rgb="FFFF0000"/>
      <name val="Arial"/>
    </font>
    <font>
      <b/>
      <sz val="11"/>
      <color rgb="FF000000"/>
      <name val="Arial"/>
    </font>
    <font>
      <b/>
      <sz val="11"/>
      <color theme="1"/>
      <name val="Aptos Narrow"/>
    </font>
    <font>
      <i/>
      <sz val="11"/>
      <color rgb="FF000000"/>
      <name val="Aptos Narrow"/>
    </font>
    <font>
      <b/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" fontId="3" fillId="0" borderId="0" xfId="0" applyNumberFormat="1" applyFo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3" fillId="0" borderId="0" xfId="0" applyNumberFormat="1" applyFont="1"/>
    <xf numFmtId="4" fontId="4" fillId="0" borderId="0" xfId="0" applyNumberFormat="1" applyFont="1"/>
    <xf numFmtId="4" fontId="5" fillId="0" borderId="0" xfId="0" applyNumberFormat="1" applyFont="1"/>
    <xf numFmtId="4" fontId="6" fillId="0" borderId="0" xfId="0" applyNumberFormat="1" applyFont="1"/>
    <xf numFmtId="0" fontId="7" fillId="2" borderId="0" xfId="0" applyFont="1" applyFill="1" applyAlignment="1">
      <alignment horizontal="center"/>
    </xf>
    <xf numFmtId="0" fontId="4" fillId="0" borderId="0" xfId="0" applyFont="1"/>
    <xf numFmtId="0" fontId="3" fillId="0" borderId="0" xfId="0" applyFont="1"/>
    <xf numFmtId="0" fontId="8" fillId="0" borderId="0" xfId="0" applyFont="1"/>
    <xf numFmtId="3" fontId="3" fillId="0" borderId="0" xfId="0" applyNumberFormat="1" applyFont="1"/>
    <xf numFmtId="3" fontId="4" fillId="0" borderId="0" xfId="0" applyNumberFormat="1" applyFont="1"/>
    <xf numFmtId="0" fontId="9" fillId="0" borderId="0" xfId="0" applyFont="1"/>
    <xf numFmtId="17" fontId="3" fillId="0" borderId="0" xfId="0" applyNumberFormat="1" applyFont="1"/>
    <xf numFmtId="16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A9" sqref="A9"/>
    </sheetView>
  </sheetViews>
  <sheetFormatPr defaultColWidth="12.6640625" defaultRowHeight="15" customHeight="1" x14ac:dyDescent="0.3"/>
  <cols>
    <col min="1" max="1" width="46.77734375" customWidth="1"/>
    <col min="2" max="2" width="20.77734375" customWidth="1"/>
    <col min="3" max="11" width="8.77734375" customWidth="1"/>
    <col min="12" max="26" width="14.33203125" customWidth="1"/>
  </cols>
  <sheetData>
    <row r="1" spans="1:11" ht="14.4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2" t="s">
        <v>11</v>
      </c>
      <c r="B2" s="4">
        <v>867.79</v>
      </c>
      <c r="C2" s="5">
        <v>643.78124809999997</v>
      </c>
      <c r="D2" s="6">
        <v>499.35798210857575</v>
      </c>
      <c r="E2" s="6">
        <v>411.52329551545802</v>
      </c>
      <c r="F2" s="6">
        <v>355.91053461168599</v>
      </c>
      <c r="G2" s="6">
        <v>307.47310719679803</v>
      </c>
      <c r="H2" s="6">
        <v>274.57474400131753</v>
      </c>
      <c r="I2" s="6">
        <v>246.38399653542567</v>
      </c>
      <c r="J2" s="6">
        <v>213.55686290408624</v>
      </c>
      <c r="K2" s="6">
        <v>180.14536694823201</v>
      </c>
    </row>
    <row r="3" spans="1:11" ht="14.4" x14ac:dyDescent="0.3">
      <c r="A3" s="2" t="s">
        <v>12</v>
      </c>
      <c r="B3" s="4">
        <v>666.38</v>
      </c>
      <c r="C3" s="5">
        <v>519.0026014</v>
      </c>
      <c r="D3" s="6">
        <v>421.72436216715732</v>
      </c>
      <c r="E3" s="6">
        <v>355.91</v>
      </c>
      <c r="F3" s="6">
        <v>312.55</v>
      </c>
      <c r="G3" s="6">
        <v>280.63</v>
      </c>
      <c r="H3" s="6">
        <v>256.68</v>
      </c>
      <c r="I3" s="6">
        <v>233.83305064311548</v>
      </c>
      <c r="J3" s="6">
        <v>208.61381084902683</v>
      </c>
      <c r="K3" s="6">
        <v>176.7128149524645</v>
      </c>
    </row>
    <row r="4" spans="1:11" ht="14.4" x14ac:dyDescent="0.3">
      <c r="A4" s="2" t="s">
        <v>13</v>
      </c>
      <c r="B4" s="4">
        <v>655.25</v>
      </c>
      <c r="C4" s="5">
        <v>506.85624089999999</v>
      </c>
      <c r="D4" s="6">
        <v>411.87118335973469</v>
      </c>
      <c r="E4" s="6">
        <v>348.42</v>
      </c>
      <c r="F4" s="6">
        <v>304.7</v>
      </c>
      <c r="G4" s="6">
        <v>272.45999999999998</v>
      </c>
      <c r="H4" s="6">
        <v>247.81</v>
      </c>
      <c r="I4" s="6">
        <v>224.40917884048142</v>
      </c>
      <c r="J4" s="6">
        <v>199.30570338384553</v>
      </c>
      <c r="K4" s="6">
        <v>173.76017123811039</v>
      </c>
    </row>
    <row r="5" spans="1:11" ht="14.4" x14ac:dyDescent="0.3">
      <c r="A5" s="2" t="s">
        <v>14</v>
      </c>
      <c r="B5" s="4">
        <v>953.43</v>
      </c>
      <c r="C5" s="5">
        <v>674.80802000000006</v>
      </c>
      <c r="D5" s="6">
        <v>540.29906821099951</v>
      </c>
      <c r="E5" s="6">
        <v>456.54</v>
      </c>
      <c r="F5" s="6">
        <v>389.09</v>
      </c>
      <c r="G5" s="6">
        <v>333.55</v>
      </c>
      <c r="H5" s="6">
        <v>287.45</v>
      </c>
      <c r="I5" s="6">
        <v>248.53161283702804</v>
      </c>
      <c r="J5" s="6">
        <v>214.42910957136581</v>
      </c>
      <c r="K5" s="6">
        <v>177.08188055981572</v>
      </c>
    </row>
    <row r="6" spans="1:11" ht="14.4" x14ac:dyDescent="0.3">
      <c r="A6" s="2" t="s">
        <v>15</v>
      </c>
      <c r="B6" s="5">
        <v>1105.52</v>
      </c>
      <c r="C6" s="5">
        <v>790.5344331</v>
      </c>
      <c r="D6" s="6">
        <v>590.2441526266241</v>
      </c>
      <c r="E6" s="6">
        <v>476.95065146945063</v>
      </c>
      <c r="F6" s="6">
        <v>406.36391546250627</v>
      </c>
      <c r="G6" s="6">
        <v>339.87582302941951</v>
      </c>
      <c r="H6" s="6">
        <v>296.40309126905026</v>
      </c>
      <c r="I6" s="6">
        <v>261.01310127457185</v>
      </c>
      <c r="J6" s="6">
        <v>218.57612682789915</v>
      </c>
      <c r="K6" s="6">
        <v>186.19942795273664</v>
      </c>
    </row>
    <row r="7" spans="1:11" ht="14.4" x14ac:dyDescent="0.3">
      <c r="A7" s="2" t="s">
        <v>16</v>
      </c>
      <c r="B7" s="5">
        <v>1094.6400000000001</v>
      </c>
      <c r="C7" s="5">
        <v>782.99733630000003</v>
      </c>
      <c r="D7" s="6">
        <v>585.55881774213572</v>
      </c>
      <c r="E7" s="6">
        <v>473.52834181850426</v>
      </c>
      <c r="F7" s="6">
        <v>403.6343197595948</v>
      </c>
      <c r="G7" s="6">
        <v>337.90528743176236</v>
      </c>
      <c r="H7" s="6">
        <v>294.897277728939</v>
      </c>
      <c r="I7" s="6">
        <v>259.79060443324744</v>
      </c>
      <c r="J7" s="6">
        <v>217.64416898573964</v>
      </c>
      <c r="K7" s="6">
        <v>185.64319803943553</v>
      </c>
    </row>
    <row r="8" spans="1:11" ht="14.4" x14ac:dyDescent="0.3">
      <c r="A8" s="2" t="s">
        <v>17</v>
      </c>
      <c r="B8" s="4">
        <v>545.37</v>
      </c>
      <c r="C8" s="5">
        <v>414.90883289999999</v>
      </c>
      <c r="D8" s="6">
        <v>355.77969393970477</v>
      </c>
      <c r="E8" s="6">
        <v>301.25491283847356</v>
      </c>
      <c r="F8" s="6">
        <v>265.00417190129178</v>
      </c>
      <c r="G8" s="6">
        <v>238.1519454162495</v>
      </c>
      <c r="H8" s="6">
        <v>216.91028973571116</v>
      </c>
      <c r="I8" s="6">
        <v>196.80918691235766</v>
      </c>
      <c r="J8" s="6">
        <v>181.15237374962237</v>
      </c>
      <c r="K8" s="6">
        <v>157.80966217723045</v>
      </c>
    </row>
    <row r="9" spans="1:11" ht="14.4" x14ac:dyDescent="0.3">
      <c r="A9" s="2" t="s">
        <v>18</v>
      </c>
      <c r="B9" s="4">
        <v>618.9</v>
      </c>
      <c r="C9" s="5">
        <v>512.53562069999998</v>
      </c>
      <c r="D9" s="6">
        <v>438.85725768109796</v>
      </c>
      <c r="E9" s="6">
        <v>373.34873640715307</v>
      </c>
      <c r="F9" s="6">
        <v>324.39744073040237</v>
      </c>
      <c r="G9" s="6">
        <v>290.27169214970377</v>
      </c>
      <c r="H9" s="6">
        <v>264.10277769013339</v>
      </c>
      <c r="I9" s="6">
        <v>239.83775958790497</v>
      </c>
      <c r="J9" s="6">
        <v>208.6370496287665</v>
      </c>
      <c r="K9" s="6">
        <v>177.05542785145633</v>
      </c>
    </row>
    <row r="10" spans="1:11" ht="14.4" x14ac:dyDescent="0.3">
      <c r="A10" s="2" t="s">
        <v>19</v>
      </c>
      <c r="B10" s="4">
        <v>671.14</v>
      </c>
      <c r="C10" s="5">
        <v>519.64919680000003</v>
      </c>
      <c r="D10" s="6">
        <v>419.15726354945031</v>
      </c>
      <c r="E10" s="6">
        <v>356.67849703574228</v>
      </c>
      <c r="F10" s="6">
        <v>321.12109845340268</v>
      </c>
      <c r="G10" s="6">
        <v>294.38820589820335</v>
      </c>
      <c r="H10" s="6">
        <v>273.33133254227789</v>
      </c>
      <c r="I10" s="6">
        <v>254.40878422308472</v>
      </c>
      <c r="J10" s="6">
        <v>234.93078308305851</v>
      </c>
      <c r="K10" s="6">
        <v>184.59182531538994</v>
      </c>
    </row>
    <row r="11" spans="1:11" ht="14.4" x14ac:dyDescent="0.3">
      <c r="A11" s="2" t="s">
        <v>20</v>
      </c>
      <c r="B11" s="4">
        <v>548.54999999999995</v>
      </c>
      <c r="C11" s="5">
        <v>449.11359970000001</v>
      </c>
      <c r="D11" s="6">
        <v>385.6727816067044</v>
      </c>
      <c r="E11" s="6">
        <v>329.55468703585183</v>
      </c>
      <c r="F11" s="6">
        <v>287.92501643045887</v>
      </c>
      <c r="G11" s="6">
        <v>258.73386473826298</v>
      </c>
      <c r="H11" s="6">
        <v>237.07611079040205</v>
      </c>
      <c r="I11" s="6">
        <v>215.9943719007409</v>
      </c>
      <c r="J11" s="6">
        <v>189.9550382630583</v>
      </c>
      <c r="K11" s="6">
        <v>167.192185379016</v>
      </c>
    </row>
    <row r="12" spans="1:11" ht="14.4" x14ac:dyDescent="0.3">
      <c r="A12" s="2" t="s">
        <v>21</v>
      </c>
      <c r="B12" s="4">
        <v>585.23</v>
      </c>
      <c r="C12" s="5">
        <v>474.83474760000001</v>
      </c>
      <c r="D12" s="6">
        <v>383.39827528285537</v>
      </c>
      <c r="E12" s="6">
        <v>324.31672894220782</v>
      </c>
      <c r="F12" s="6">
        <v>282.22362320000519</v>
      </c>
      <c r="G12" s="6">
        <v>247.43444821701306</v>
      </c>
      <c r="H12" s="6">
        <v>225.78704142964691</v>
      </c>
      <c r="I12" s="6">
        <v>205.61417737304083</v>
      </c>
      <c r="J12" s="6">
        <v>184.49740873170325</v>
      </c>
      <c r="K12" s="6">
        <v>165.78665949841698</v>
      </c>
    </row>
    <row r="13" spans="1:11" ht="14.4" x14ac:dyDescent="0.3">
      <c r="A13" s="2" t="s">
        <v>22</v>
      </c>
      <c r="B13" s="4">
        <v>728.2</v>
      </c>
      <c r="C13" s="5">
        <v>552.8054889</v>
      </c>
      <c r="D13" s="6">
        <v>436.18574175146466</v>
      </c>
      <c r="E13" s="6">
        <v>362.99991164216982</v>
      </c>
      <c r="F13" s="6">
        <v>315.51981309192087</v>
      </c>
      <c r="G13" s="6">
        <v>279.05991516494316</v>
      </c>
      <c r="H13" s="6">
        <v>255.43544470985285</v>
      </c>
      <c r="I13" s="6">
        <v>232.04787436099164</v>
      </c>
      <c r="J13" s="6">
        <v>206.54717625784136</v>
      </c>
      <c r="K13" s="6">
        <v>176.05376040242209</v>
      </c>
    </row>
    <row r="14" spans="1:11" ht="14.4" x14ac:dyDescent="0.3">
      <c r="A14" s="2" t="s">
        <v>23</v>
      </c>
      <c r="B14" s="4">
        <v>238.61</v>
      </c>
      <c r="C14" s="5">
        <v>233.6045451</v>
      </c>
      <c r="D14" s="6">
        <v>220.73192612805167</v>
      </c>
      <c r="E14" s="6">
        <v>198.46362472531763</v>
      </c>
      <c r="F14" s="6">
        <v>179.56532335482643</v>
      </c>
      <c r="G14" s="6">
        <v>163.51264124758575</v>
      </c>
      <c r="H14" s="6">
        <v>151.41643425042349</v>
      </c>
      <c r="I14" s="6">
        <v>140.94781451834282</v>
      </c>
      <c r="J14" s="6">
        <v>136.21172144588041</v>
      </c>
      <c r="K14" s="6">
        <v>129.31530553919004</v>
      </c>
    </row>
    <row r="15" spans="1:11" ht="14.4" x14ac:dyDescent="0.3">
      <c r="A15" s="2" t="s">
        <v>24</v>
      </c>
      <c r="B15" s="4">
        <v>370.57</v>
      </c>
      <c r="C15" s="5">
        <v>337.14743729999998</v>
      </c>
      <c r="D15" s="6">
        <v>309.71461176493511</v>
      </c>
      <c r="E15" s="6">
        <v>267.60049583243068</v>
      </c>
      <c r="F15" s="6">
        <v>235.84162653119671</v>
      </c>
      <c r="G15" s="6">
        <v>212.75118591995101</v>
      </c>
      <c r="H15" s="6">
        <v>196.65501559800958</v>
      </c>
      <c r="I15" s="6">
        <v>180.88301311004679</v>
      </c>
      <c r="J15" s="6">
        <v>164.52877244778983</v>
      </c>
      <c r="K15" s="6">
        <v>149.44003488952282</v>
      </c>
    </row>
    <row r="16" spans="1:11" ht="14.4" x14ac:dyDescent="0.3">
      <c r="A16" s="2" t="s">
        <v>25</v>
      </c>
      <c r="B16" s="4">
        <v>555.67999999999995</v>
      </c>
      <c r="C16" s="5">
        <v>456.5463307</v>
      </c>
      <c r="D16" s="6">
        <v>382.41798694487107</v>
      </c>
      <c r="E16" s="6">
        <v>322.92</v>
      </c>
      <c r="F16" s="6">
        <v>286.04000000000002</v>
      </c>
      <c r="G16" s="6">
        <v>259.19</v>
      </c>
      <c r="H16" s="6">
        <v>238.21</v>
      </c>
      <c r="I16" s="6">
        <v>216.94080585319745</v>
      </c>
      <c r="J16" s="6">
        <v>195.50625949508077</v>
      </c>
      <c r="K16" s="6">
        <v>160.75681991189958</v>
      </c>
    </row>
    <row r="17" spans="1:11" ht="14.4" x14ac:dyDescent="0.3">
      <c r="A17" s="2" t="s">
        <v>26</v>
      </c>
      <c r="B17" s="4">
        <v>554.29999999999995</v>
      </c>
      <c r="C17" s="5">
        <v>409.1436175</v>
      </c>
      <c r="D17" s="6">
        <v>329.27360396978588</v>
      </c>
      <c r="E17" s="6">
        <v>281.13346072781809</v>
      </c>
      <c r="F17" s="6">
        <v>248.54090680540452</v>
      </c>
      <c r="G17" s="6">
        <v>224.27275731310428</v>
      </c>
      <c r="H17" s="6">
        <v>206.98620507501539</v>
      </c>
      <c r="I17" s="6">
        <v>189.1326820903796</v>
      </c>
      <c r="J17" s="6">
        <v>171.15864007963822</v>
      </c>
      <c r="K17" s="6">
        <v>157.15995784709622</v>
      </c>
    </row>
    <row r="18" spans="1:11" ht="14.4" x14ac:dyDescent="0.3">
      <c r="A18" s="2" t="s">
        <v>27</v>
      </c>
      <c r="B18" s="4">
        <v>589.98</v>
      </c>
      <c r="C18" s="5">
        <v>469.25801799999999</v>
      </c>
      <c r="D18" s="6">
        <v>387.59474177398147</v>
      </c>
      <c r="E18" s="6">
        <v>326.77866027038158</v>
      </c>
      <c r="F18" s="6">
        <v>286.29090597504978</v>
      </c>
      <c r="G18" s="6">
        <v>255.85156122124553</v>
      </c>
      <c r="H18" s="6">
        <v>234.41791238456295</v>
      </c>
      <c r="I18" s="6">
        <v>213.93269413471762</v>
      </c>
      <c r="J18" s="6">
        <v>191.86957977979819</v>
      </c>
      <c r="K18" s="6">
        <v>170.28808680318798</v>
      </c>
    </row>
    <row r="19" spans="1:11" ht="14.4" x14ac:dyDescent="0.3">
      <c r="A19" s="2" t="s">
        <v>28</v>
      </c>
      <c r="B19" s="4">
        <v>2.44</v>
      </c>
      <c r="C19" s="5">
        <v>2.2873047660000001</v>
      </c>
      <c r="D19" s="6">
        <v>1.7147708607871976</v>
      </c>
      <c r="E19" s="6">
        <v>1.8169052974550652</v>
      </c>
      <c r="F19" s="6">
        <v>1.6145607602639558</v>
      </c>
      <c r="G19" s="6">
        <v>0.85422869802636114</v>
      </c>
      <c r="H19" s="6">
        <v>0.73890134786583417</v>
      </c>
      <c r="I19" s="6">
        <v>0.59326817285148081</v>
      </c>
      <c r="J19" s="6">
        <v>1.0551824909168346</v>
      </c>
      <c r="K19" s="6">
        <v>0.99482994084732468</v>
      </c>
    </row>
    <row r="20" spans="1:11" ht="14.4" x14ac:dyDescent="0.3">
      <c r="A20" s="2" t="s">
        <v>29</v>
      </c>
      <c r="B20" s="4">
        <v>34.799999999999997</v>
      </c>
      <c r="C20" s="5">
        <v>28.921789799999999</v>
      </c>
      <c r="D20" s="6">
        <v>21.34379451911694</v>
      </c>
      <c r="E20" s="6">
        <v>15.625488850575337</v>
      </c>
      <c r="F20" s="6">
        <v>15.753386647855876</v>
      </c>
      <c r="G20" s="6">
        <v>11.981569286402618</v>
      </c>
      <c r="H20" s="6">
        <v>11.441793242378282</v>
      </c>
      <c r="I20" s="6">
        <v>15.371612592980881</v>
      </c>
      <c r="J20" s="6">
        <v>18.546963778122375</v>
      </c>
      <c r="K20" s="6">
        <v>9.5539051117446121</v>
      </c>
    </row>
    <row r="21" spans="1:11" ht="15.75" customHeight="1" x14ac:dyDescent="0.3">
      <c r="A21" s="2" t="s">
        <v>30</v>
      </c>
      <c r="B21" s="4">
        <v>33.24</v>
      </c>
      <c r="C21" s="5">
        <v>24.659550200000002</v>
      </c>
      <c r="D21" s="6">
        <v>18.847187784327417</v>
      </c>
      <c r="E21" s="6">
        <v>16.952845722160802</v>
      </c>
      <c r="F21" s="6">
        <v>13.246023427659765</v>
      </c>
      <c r="G21" s="6">
        <v>11.396422337811558</v>
      </c>
      <c r="H21" s="6">
        <v>12.095106517343154</v>
      </c>
      <c r="I21" s="6">
        <v>16.502266213964063</v>
      </c>
      <c r="J21" s="6">
        <v>15.696812638797255</v>
      </c>
      <c r="K21" s="6">
        <v>9.0094349800770317</v>
      </c>
    </row>
    <row r="22" spans="1:11" ht="15.75" customHeight="1" x14ac:dyDescent="0.3"/>
    <row r="23" spans="1:11" ht="15.75" customHeight="1" x14ac:dyDescent="0.3"/>
    <row r="24" spans="1:11" ht="15.75" customHeight="1" x14ac:dyDescent="0.3"/>
    <row r="25" spans="1:11" ht="15.75" customHeight="1" x14ac:dyDescent="0.3"/>
    <row r="26" spans="1:11" ht="15.75" customHeight="1" x14ac:dyDescent="0.3"/>
    <row r="27" spans="1:11" ht="15.75" customHeight="1" x14ac:dyDescent="0.3"/>
    <row r="28" spans="1:11" ht="15.75" customHeight="1" x14ac:dyDescent="0.3"/>
    <row r="29" spans="1:11" ht="15.75" customHeight="1" x14ac:dyDescent="0.3"/>
    <row r="30" spans="1:11" ht="15.75" customHeight="1" x14ac:dyDescent="0.3"/>
    <row r="31" spans="1:11" ht="15.75" customHeight="1" x14ac:dyDescent="0.3"/>
    <row r="32" spans="1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 x14ac:dyDescent="0.3"/>
  <cols>
    <col min="1" max="1" width="65.21875" customWidth="1"/>
    <col min="2" max="6" width="14.21875" customWidth="1"/>
    <col min="7" max="11" width="13.109375" customWidth="1"/>
    <col min="12" max="26" width="14.33203125" customWidth="1"/>
  </cols>
  <sheetData>
    <row r="1" spans="1:11" ht="14.4" x14ac:dyDescent="0.3">
      <c r="B1" s="2">
        <v>2024</v>
      </c>
      <c r="C1" s="2">
        <v>2023</v>
      </c>
      <c r="D1" s="2">
        <v>2022</v>
      </c>
      <c r="E1" s="2">
        <v>2021</v>
      </c>
      <c r="F1" s="2">
        <v>2020</v>
      </c>
      <c r="G1" s="2">
        <v>2019</v>
      </c>
      <c r="H1" s="2">
        <v>2018</v>
      </c>
      <c r="I1" s="2">
        <v>2017</v>
      </c>
      <c r="J1" s="2">
        <v>2016</v>
      </c>
      <c r="K1" s="2">
        <v>2015</v>
      </c>
    </row>
    <row r="2" spans="1:11" ht="14.4" x14ac:dyDescent="0.3">
      <c r="A2" s="2" t="s">
        <v>31</v>
      </c>
      <c r="B2" s="7">
        <f t="shared" ref="B2:G2" si="0">SUM(B3:B6)</f>
        <v>19535878.834762558</v>
      </c>
      <c r="C2" s="7">
        <f t="shared" si="0"/>
        <v>19306490.276994217</v>
      </c>
      <c r="D2" s="7">
        <f t="shared" si="0"/>
        <v>19091072.816407543</v>
      </c>
      <c r="E2" s="7">
        <f t="shared" si="0"/>
        <v>18738414.419014249</v>
      </c>
      <c r="F2" s="7">
        <f t="shared" si="0"/>
        <v>18348175.935322382</v>
      </c>
      <c r="G2" s="7">
        <f t="shared" si="0"/>
        <v>17958583.70767992</v>
      </c>
      <c r="H2" s="7">
        <v>17544147.74041225</v>
      </c>
      <c r="I2" s="7">
        <f t="shared" ref="I2:K2" si="1">SUM(I3:I6)</f>
        <v>17179495.28662229</v>
      </c>
      <c r="J2" s="7">
        <f t="shared" si="1"/>
        <v>16607337.334480276</v>
      </c>
      <c r="K2" s="7">
        <f t="shared" si="1"/>
        <v>15952220.140000001</v>
      </c>
    </row>
    <row r="3" spans="1:11" ht="14.4" x14ac:dyDescent="0.3">
      <c r="A3" s="2" t="s">
        <v>32</v>
      </c>
      <c r="B3" s="8">
        <v>17865590.050442904</v>
      </c>
      <c r="C3" s="6">
        <v>17585429.091761049</v>
      </c>
      <c r="D3" s="6">
        <v>17260752.40657305</v>
      </c>
      <c r="E3" s="8">
        <v>16920523.880666167</v>
      </c>
      <c r="F3" s="7">
        <v>16544520.5637211</v>
      </c>
      <c r="G3" s="6">
        <v>16181992.975220388</v>
      </c>
      <c r="H3" s="7">
        <v>15786437.683820006</v>
      </c>
      <c r="I3" s="7">
        <v>15437049.701843228</v>
      </c>
      <c r="J3" s="7">
        <v>14894447.821780773</v>
      </c>
      <c r="K3" s="7">
        <v>14274936.74</v>
      </c>
    </row>
    <row r="4" spans="1:11" ht="14.4" x14ac:dyDescent="0.3">
      <c r="A4" s="2" t="s">
        <v>33</v>
      </c>
      <c r="B4" s="8">
        <v>1087313.885311516</v>
      </c>
      <c r="C4" s="6">
        <v>1140235.8051170048</v>
      </c>
      <c r="D4" s="6">
        <v>1247719.4118246934</v>
      </c>
      <c r="E4" s="8">
        <v>1240215.3524143691</v>
      </c>
      <c r="F4" s="7">
        <v>1233114.80680365</v>
      </c>
      <c r="G4" s="6">
        <v>1210055.3777595675</v>
      </c>
      <c r="H4" s="7">
        <v>1208128.0391348053</v>
      </c>
      <c r="I4" s="7">
        <v>1204205.2496313197</v>
      </c>
      <c r="J4" s="7">
        <v>1185118.4403765313</v>
      </c>
      <c r="K4" s="7">
        <v>1151323.3900000001</v>
      </c>
    </row>
    <row r="5" spans="1:11" ht="14.4" x14ac:dyDescent="0.3">
      <c r="A5" s="2" t="s">
        <v>34</v>
      </c>
      <c r="B5" s="8">
        <v>204678.84793310083</v>
      </c>
      <c r="C5" s="6">
        <v>199826.63133536227</v>
      </c>
      <c r="D5" s="6">
        <v>196357.19399742648</v>
      </c>
      <c r="E5" s="8">
        <v>193224.32071639487</v>
      </c>
      <c r="F5" s="7">
        <v>190508.051569498</v>
      </c>
      <c r="G5" s="6">
        <v>187474.87171237852</v>
      </c>
      <c r="H5" s="7">
        <v>182747.9328522555</v>
      </c>
      <c r="I5" s="7">
        <v>177326.97066484208</v>
      </c>
      <c r="J5" s="7">
        <v>171642.64850965692</v>
      </c>
      <c r="K5" s="7">
        <v>167258.4</v>
      </c>
    </row>
    <row r="6" spans="1:11" ht="14.4" x14ac:dyDescent="0.3">
      <c r="A6" s="2" t="s">
        <v>35</v>
      </c>
      <c r="B6" s="8">
        <v>378296.05107503734</v>
      </c>
      <c r="C6" s="6">
        <v>380998.74878080317</v>
      </c>
      <c r="D6" s="6">
        <v>386243.80401237227</v>
      </c>
      <c r="E6" s="8">
        <v>384450.8652173155</v>
      </c>
      <c r="F6" s="7">
        <v>380032.51322813402</v>
      </c>
      <c r="G6" s="6">
        <v>379060.48298758653</v>
      </c>
      <c r="H6" s="7">
        <v>366834.08460518275</v>
      </c>
      <c r="I6" s="7">
        <v>360913.36448289675</v>
      </c>
      <c r="J6" s="7">
        <v>356128.42381331458</v>
      </c>
      <c r="K6" s="7">
        <v>358701.61</v>
      </c>
    </row>
    <row r="7" spans="1:11" ht="14.4" x14ac:dyDescent="0.3">
      <c r="A7" s="2" t="s">
        <v>36</v>
      </c>
      <c r="B7" s="9">
        <f t="shared" ref="B7:G7" si="2">SUM(B8:B11)</f>
        <v>4473237.409239443</v>
      </c>
      <c r="C7" s="9">
        <f t="shared" si="2"/>
        <v>4266504.9878755417</v>
      </c>
      <c r="D7" s="9">
        <f t="shared" si="2"/>
        <v>4391424.719320884</v>
      </c>
      <c r="E7" s="9">
        <f t="shared" si="2"/>
        <v>5366193.4083830938</v>
      </c>
      <c r="F7" s="9">
        <f t="shared" si="2"/>
        <v>5819391.2348455684</v>
      </c>
      <c r="G7" s="9">
        <f t="shared" si="2"/>
        <v>6362630.7689196961</v>
      </c>
      <c r="H7" s="9">
        <v>6092477.0958956834</v>
      </c>
      <c r="I7" s="9">
        <f t="shared" ref="I7:K7" si="3">SUM(I8:I11)</f>
        <v>6031717.5992665449</v>
      </c>
      <c r="J7" s="9">
        <f t="shared" si="3"/>
        <v>5759816.7485471703</v>
      </c>
      <c r="K7" s="9">
        <f t="shared" si="3"/>
        <v>6732507.5699999994</v>
      </c>
    </row>
    <row r="8" spans="1:11" ht="14.4" x14ac:dyDescent="0.3">
      <c r="A8" s="2" t="s">
        <v>37</v>
      </c>
      <c r="B8" s="8">
        <v>4367242.8837888883</v>
      </c>
      <c r="C8" s="6">
        <v>4138159.4928605813</v>
      </c>
      <c r="D8" s="6">
        <v>4231903.3970533367</v>
      </c>
      <c r="E8" s="8">
        <v>5239054.3802738786</v>
      </c>
      <c r="F8" s="7">
        <v>5713195.8847838501</v>
      </c>
      <c r="G8" s="6">
        <v>6270859.165594114</v>
      </c>
      <c r="H8" s="7">
        <v>5995875.0709482487</v>
      </c>
      <c r="I8" s="7">
        <v>5943985.2810216844</v>
      </c>
      <c r="J8" s="7">
        <v>5672207.0077878926</v>
      </c>
      <c r="K8" s="7">
        <v>6629963.75</v>
      </c>
    </row>
    <row r="9" spans="1:11" ht="14.4" x14ac:dyDescent="0.3">
      <c r="A9" s="2" t="s">
        <v>38</v>
      </c>
      <c r="B9" s="8">
        <v>2493.4157977876416</v>
      </c>
      <c r="C9" s="6">
        <v>7245.4705049099557</v>
      </c>
      <c r="D9" s="6">
        <v>8193.0194473521969</v>
      </c>
      <c r="E9" s="8">
        <v>7711.6969729540087</v>
      </c>
      <c r="F9" s="7">
        <v>6132.6912156819199</v>
      </c>
      <c r="G9" s="6">
        <v>7713.632077399634</v>
      </c>
      <c r="H9" s="7">
        <v>6817.2271975269014</v>
      </c>
      <c r="I9" s="7">
        <v>7238.0043972040103</v>
      </c>
      <c r="J9" s="7">
        <v>7344.6510230156709</v>
      </c>
      <c r="K9" s="7">
        <v>7272.06</v>
      </c>
    </row>
    <row r="10" spans="1:11" ht="14.4" x14ac:dyDescent="0.3">
      <c r="A10" s="2" t="s">
        <v>39</v>
      </c>
      <c r="B10" s="8">
        <v>25456.83879944386</v>
      </c>
      <c r="C10" s="6">
        <v>14527.388364210785</v>
      </c>
      <c r="D10" s="6">
        <v>9664.2834306246859</v>
      </c>
      <c r="E10" s="8">
        <v>8332.4858613370197</v>
      </c>
      <c r="F10" s="7">
        <v>6209.5551955180899</v>
      </c>
      <c r="G10" s="6">
        <v>6595.2747852725315</v>
      </c>
      <c r="H10" s="7">
        <v>7702.9000712475236</v>
      </c>
      <c r="I10" s="7">
        <v>6097.1394772686517</v>
      </c>
      <c r="J10" s="7">
        <v>5023.7911461673302</v>
      </c>
      <c r="K10" s="7">
        <v>4160.92</v>
      </c>
    </row>
    <row r="11" spans="1:11" ht="14.4" x14ac:dyDescent="0.3">
      <c r="A11" s="2" t="s">
        <v>40</v>
      </c>
      <c r="B11" s="8">
        <v>78044.270853322567</v>
      </c>
      <c r="C11" s="6">
        <v>106572.63614584033</v>
      </c>
      <c r="D11" s="6">
        <v>141664.01938957028</v>
      </c>
      <c r="E11" s="8">
        <v>111094.84527492475</v>
      </c>
      <c r="F11" s="7">
        <v>93853.103650518693</v>
      </c>
      <c r="G11" s="6">
        <v>77462.696462909706</v>
      </c>
      <c r="H11" s="7">
        <v>82081.897678659923</v>
      </c>
      <c r="I11" s="7">
        <v>74397.174370387409</v>
      </c>
      <c r="J11" s="7">
        <v>75241.29859009455</v>
      </c>
      <c r="K11" s="7">
        <v>91110.84</v>
      </c>
    </row>
    <row r="12" spans="1:11" ht="14.4" x14ac:dyDescent="0.3">
      <c r="A12" s="2" t="s">
        <v>41</v>
      </c>
      <c r="B12" s="8">
        <f t="shared" ref="B12:G12" si="4">SUM(B13:B25)</f>
        <v>6848461.3233296787</v>
      </c>
      <c r="C12" s="8">
        <f t="shared" si="4"/>
        <v>6754959.2814313658</v>
      </c>
      <c r="D12" s="8">
        <f t="shared" si="4"/>
        <v>6661391.8398462432</v>
      </c>
      <c r="E12" s="8">
        <f t="shared" si="4"/>
        <v>6502257.6036022529</v>
      </c>
      <c r="F12" s="8">
        <f t="shared" si="4"/>
        <v>6291592.1331146043</v>
      </c>
      <c r="G12" s="8">
        <f t="shared" si="4"/>
        <v>6469831.879803923</v>
      </c>
      <c r="H12" s="8">
        <v>6420590.2816791385</v>
      </c>
      <c r="I12" s="8">
        <f t="shared" ref="I12:K12" si="5">SUM(I13:I25)</f>
        <v>6288896.7970060995</v>
      </c>
      <c r="J12" s="8">
        <f t="shared" si="5"/>
        <v>6302232.4468281101</v>
      </c>
      <c r="K12" s="8">
        <f t="shared" si="5"/>
        <v>6586618.6299999999</v>
      </c>
    </row>
    <row r="13" spans="1:11" ht="14.4" x14ac:dyDescent="0.3">
      <c r="A13" s="2" t="s">
        <v>42</v>
      </c>
      <c r="B13" s="8">
        <v>5994.5250712426787</v>
      </c>
      <c r="C13" s="6">
        <v>7193.462023684734</v>
      </c>
      <c r="D13" s="6">
        <v>11207.011427772883</v>
      </c>
      <c r="E13" s="8">
        <v>19297.841081117364</v>
      </c>
      <c r="F13" s="7">
        <v>37065.608669611102</v>
      </c>
      <c r="G13" s="6">
        <v>98115.944157252554</v>
      </c>
      <c r="H13" s="7">
        <v>143003.36556502257</v>
      </c>
      <c r="I13" s="7">
        <v>148916.39257300008</v>
      </c>
      <c r="J13" s="7">
        <v>205966.42867535265</v>
      </c>
      <c r="K13" s="7">
        <v>200883.03999999998</v>
      </c>
    </row>
    <row r="14" spans="1:11" ht="14.4" x14ac:dyDescent="0.3">
      <c r="A14" s="2" t="s">
        <v>43</v>
      </c>
      <c r="B14" s="8">
        <v>734271.73152250319</v>
      </c>
      <c r="C14" s="6">
        <v>717252.87029617256</v>
      </c>
      <c r="D14" s="6">
        <v>695838.60996991768</v>
      </c>
      <c r="E14" s="8">
        <v>658614.70015153568</v>
      </c>
      <c r="F14" s="7">
        <v>617633.74597631302</v>
      </c>
      <c r="G14" s="6">
        <v>594575.45258304977</v>
      </c>
      <c r="H14" s="7">
        <v>576627.30908399238</v>
      </c>
      <c r="I14" s="7">
        <v>551775.49654752237</v>
      </c>
      <c r="J14" s="7">
        <v>564213.85773931176</v>
      </c>
      <c r="K14" s="7">
        <v>596173.71</v>
      </c>
    </row>
    <row r="15" spans="1:11" ht="14.4" x14ac:dyDescent="0.3">
      <c r="A15" s="2" t="s">
        <v>44</v>
      </c>
      <c r="B15" s="8">
        <v>3484284.4725328013</v>
      </c>
      <c r="C15" s="6">
        <v>3402578.197223613</v>
      </c>
      <c r="D15" s="6">
        <v>3302657.7695366042</v>
      </c>
      <c r="E15" s="8">
        <v>3179963.7170859794</v>
      </c>
      <c r="F15" s="7">
        <v>3007660.2720705699</v>
      </c>
      <c r="G15" s="6">
        <v>2963076.0183641585</v>
      </c>
      <c r="H15" s="7">
        <v>2900145.0248242216</v>
      </c>
      <c r="I15" s="7">
        <v>2817563.6242463049</v>
      </c>
      <c r="J15" s="7">
        <v>2752898.9541891525</v>
      </c>
      <c r="K15" s="7">
        <v>2937062.39</v>
      </c>
    </row>
    <row r="16" spans="1:11" ht="14.4" x14ac:dyDescent="0.3">
      <c r="A16" s="2" t="s">
        <v>45</v>
      </c>
      <c r="B16" s="8">
        <v>1224331.5927939317</v>
      </c>
      <c r="C16" s="6">
        <v>1246560.6262626047</v>
      </c>
      <c r="D16" s="6">
        <v>1285910.2731117194</v>
      </c>
      <c r="E16" s="8">
        <v>1315243.4306128854</v>
      </c>
      <c r="F16" s="7">
        <v>1332213.4800182299</v>
      </c>
      <c r="G16" s="6">
        <v>1441676.0129634929</v>
      </c>
      <c r="H16" s="7">
        <v>1443029.8530790021</v>
      </c>
      <c r="I16" s="7">
        <v>1419074.4475319583</v>
      </c>
      <c r="J16" s="7">
        <v>1407504.3227726484</v>
      </c>
      <c r="K16" s="7">
        <v>1423019.64</v>
      </c>
    </row>
    <row r="17" spans="1:11" ht="14.4" x14ac:dyDescent="0.3">
      <c r="A17" s="2" t="s">
        <v>46</v>
      </c>
      <c r="B17" s="8">
        <v>202276.23425982703</v>
      </c>
      <c r="C17" s="6">
        <v>198622.8652884349</v>
      </c>
      <c r="D17" s="6">
        <v>195891.33953165574</v>
      </c>
      <c r="E17" s="8">
        <v>193413.82891703749</v>
      </c>
      <c r="F17" s="7">
        <v>196429.56984792699</v>
      </c>
      <c r="G17" s="6">
        <v>205226.16941977199</v>
      </c>
      <c r="H17" s="7">
        <v>201348.53032925492</v>
      </c>
      <c r="I17" s="7">
        <v>197977.82260168239</v>
      </c>
      <c r="J17" s="7">
        <v>196929.2717431848</v>
      </c>
      <c r="K17" s="7">
        <v>205212.33</v>
      </c>
    </row>
    <row r="18" spans="1:11" ht="14.4" x14ac:dyDescent="0.3">
      <c r="A18" s="2" t="s">
        <v>47</v>
      </c>
      <c r="B18" s="8">
        <v>47792.580709188813</v>
      </c>
      <c r="C18" s="6">
        <v>47757.433607389401</v>
      </c>
      <c r="D18" s="6">
        <v>48027.967936354042</v>
      </c>
      <c r="E18" s="8">
        <v>48746.294699974904</v>
      </c>
      <c r="F18" s="7">
        <v>48901.7216193973</v>
      </c>
      <c r="G18" s="6">
        <v>53925.396941663595</v>
      </c>
      <c r="H18" s="7">
        <v>53259.899202611916</v>
      </c>
      <c r="I18" s="7">
        <v>51490.58202577076</v>
      </c>
      <c r="J18" s="7">
        <v>51431.111751815071</v>
      </c>
      <c r="K18" s="7">
        <v>53671.22</v>
      </c>
    </row>
    <row r="19" spans="1:11" ht="14.4" x14ac:dyDescent="0.3">
      <c r="A19" s="2" t="s">
        <v>48</v>
      </c>
      <c r="B19" s="8">
        <v>207412.22219348003</v>
      </c>
      <c r="C19" s="6">
        <v>200724.51947707275</v>
      </c>
      <c r="D19" s="6">
        <v>188648.39282892828</v>
      </c>
      <c r="E19" s="8">
        <v>172377.69019122637</v>
      </c>
      <c r="F19" s="7">
        <v>159418.15050948301</v>
      </c>
      <c r="G19" s="6">
        <v>155469.22171219415</v>
      </c>
      <c r="H19" s="7">
        <v>154932.37427155106</v>
      </c>
      <c r="I19" s="7">
        <v>153994.53395157962</v>
      </c>
      <c r="J19" s="7">
        <v>152792.51986566739</v>
      </c>
      <c r="K19" s="7">
        <v>150992.61000000002</v>
      </c>
    </row>
    <row r="20" spans="1:11" ht="14.4" x14ac:dyDescent="0.3">
      <c r="A20" s="2" t="s">
        <v>49</v>
      </c>
      <c r="B20" s="8">
        <v>237064.95312964421</v>
      </c>
      <c r="C20" s="6">
        <v>232957.07886038016</v>
      </c>
      <c r="D20" s="6">
        <v>229707.02488149979</v>
      </c>
      <c r="E20" s="8">
        <v>221315.11194791383</v>
      </c>
      <c r="F20" s="7">
        <v>214012.96580141899</v>
      </c>
      <c r="G20" s="6">
        <v>241953.294037026</v>
      </c>
      <c r="H20" s="7">
        <v>237958.10939302793</v>
      </c>
      <c r="I20" s="7">
        <v>239099.74990233587</v>
      </c>
      <c r="J20" s="7">
        <v>234495.00201939198</v>
      </c>
      <c r="K20" s="7">
        <v>227227.03999999998</v>
      </c>
    </row>
    <row r="21" spans="1:11" ht="15.75" customHeight="1" x14ac:dyDescent="0.3">
      <c r="A21" s="2" t="s">
        <v>50</v>
      </c>
      <c r="B21" s="8">
        <v>228172.8173177829</v>
      </c>
      <c r="C21" s="6">
        <v>227801.71220131876</v>
      </c>
      <c r="D21" s="6">
        <v>227410.13737798197</v>
      </c>
      <c r="E21" s="8">
        <v>227002.88356641284</v>
      </c>
      <c r="F21" s="7">
        <v>222810.92359800599</v>
      </c>
      <c r="G21" s="6">
        <v>231942.45134738769</v>
      </c>
      <c r="H21" s="7">
        <v>225867.53165565606</v>
      </c>
      <c r="I21" s="7">
        <v>222440.87262588236</v>
      </c>
      <c r="J21" s="7">
        <v>220268.05404331</v>
      </c>
      <c r="K21" s="7">
        <v>212628.01</v>
      </c>
    </row>
    <row r="22" spans="1:11" ht="15.75" customHeight="1" x14ac:dyDescent="0.3">
      <c r="A22" s="2" t="s">
        <v>51</v>
      </c>
      <c r="B22" s="8">
        <v>4229.0418391239164</v>
      </c>
      <c r="C22" s="6">
        <v>4180.1921829264274</v>
      </c>
      <c r="D22" s="6">
        <v>4107.3670617469843</v>
      </c>
      <c r="E22" s="8">
        <v>4057.5570986628463</v>
      </c>
      <c r="F22" s="7">
        <v>4032.5479395351399</v>
      </c>
      <c r="G22" s="6">
        <v>4828.4171612053469</v>
      </c>
      <c r="H22" s="7">
        <v>4757.1119426373698</v>
      </c>
      <c r="I22" s="7">
        <v>4585.2455383558763</v>
      </c>
      <c r="J22" s="7">
        <v>4716.9805678754765</v>
      </c>
      <c r="K22" s="7">
        <v>5134.3100000000004</v>
      </c>
    </row>
    <row r="23" spans="1:11" ht="15.75" customHeight="1" x14ac:dyDescent="0.3">
      <c r="A23" s="2" t="s">
        <v>52</v>
      </c>
      <c r="B23" s="8">
        <v>164081.3955385967</v>
      </c>
      <c r="C23" s="6">
        <v>163402.40204360257</v>
      </c>
      <c r="D23" s="6">
        <v>163609.40929385752</v>
      </c>
      <c r="E23" s="8">
        <v>161252.11616134306</v>
      </c>
      <c r="F23" s="7">
        <v>159970.973759068</v>
      </c>
      <c r="G23" s="6">
        <v>166175.04795880898</v>
      </c>
      <c r="H23" s="7">
        <v>168417.00533499685</v>
      </c>
      <c r="I23" s="7">
        <v>169684.97881407646</v>
      </c>
      <c r="J23" s="7">
        <v>169399.0947645226</v>
      </c>
      <c r="K23" s="7">
        <v>168192.22</v>
      </c>
    </row>
    <row r="24" spans="1:11" ht="15.75" customHeight="1" x14ac:dyDescent="0.3">
      <c r="A24" s="2" t="s">
        <v>53</v>
      </c>
      <c r="B24" s="8">
        <v>33552.354731026062</v>
      </c>
      <c r="C24" s="6">
        <v>32833.197895997509</v>
      </c>
      <c r="D24" s="6">
        <v>32031.716791007591</v>
      </c>
      <c r="E24" s="8">
        <v>31730.069149469189</v>
      </c>
      <c r="F24" s="7">
        <v>30442.3328927404</v>
      </c>
      <c r="G24" s="6">
        <v>29262.138907066896</v>
      </c>
      <c r="H24" s="7">
        <v>28600.14612287833</v>
      </c>
      <c r="I24" s="7">
        <v>29346.344401988288</v>
      </c>
      <c r="J24" s="7">
        <v>37394.364977729078</v>
      </c>
      <c r="K24" s="7">
        <v>52678.92</v>
      </c>
    </row>
    <row r="25" spans="1:11" ht="15.75" customHeight="1" x14ac:dyDescent="0.3">
      <c r="A25" s="2" t="s">
        <v>54</v>
      </c>
      <c r="B25" s="8">
        <v>274997.40169052937</v>
      </c>
      <c r="C25" s="6">
        <v>273094.72406816843</v>
      </c>
      <c r="D25" s="6">
        <v>276344.8200971965</v>
      </c>
      <c r="E25" s="8">
        <v>269242.36293869559</v>
      </c>
      <c r="F25" s="7">
        <v>260999.84041230401</v>
      </c>
      <c r="G25" s="6">
        <v>283606.31425084372</v>
      </c>
      <c r="H25" s="7">
        <v>282644.02087428537</v>
      </c>
      <c r="I25" s="7">
        <v>282946.70624564099</v>
      </c>
      <c r="J25" s="7">
        <v>304222.48371814797</v>
      </c>
      <c r="K25" s="7">
        <v>353743.19</v>
      </c>
    </row>
    <row r="26" spans="1:11" ht="15.75" customHeight="1" x14ac:dyDescent="0.3">
      <c r="A26" s="2" t="s">
        <v>55</v>
      </c>
      <c r="B26" s="8">
        <v>353922.19795035454</v>
      </c>
      <c r="C26" s="6">
        <v>351936.62930577941</v>
      </c>
      <c r="D26" s="6">
        <v>333391.69632294116</v>
      </c>
      <c r="E26" s="8">
        <v>340923.41879381059</v>
      </c>
      <c r="F26" s="7">
        <v>267245.90615844401</v>
      </c>
      <c r="G26" s="6">
        <v>275231.5865371048</v>
      </c>
      <c r="H26" s="7">
        <v>289292.29999150452</v>
      </c>
      <c r="I26" s="7">
        <v>269620.91551913891</v>
      </c>
      <c r="J26" s="7">
        <v>231569.73458388587</v>
      </c>
      <c r="K26" s="7">
        <v>272431.53000000003</v>
      </c>
    </row>
    <row r="27" spans="1:11" ht="15.75" customHeight="1" x14ac:dyDescent="0.3">
      <c r="A27" s="2" t="s">
        <v>56</v>
      </c>
      <c r="B27" s="8">
        <v>208142.37111840211</v>
      </c>
      <c r="C27" s="6">
        <v>192004.93245453225</v>
      </c>
      <c r="D27" s="6">
        <v>170449.88973531587</v>
      </c>
      <c r="E27" s="8">
        <v>150013.05822160546</v>
      </c>
      <c r="F27" s="7">
        <v>126769.708800158</v>
      </c>
      <c r="G27" s="6">
        <v>122112.03534092069</v>
      </c>
      <c r="H27" s="7">
        <v>115780.10487246953</v>
      </c>
      <c r="I27" s="7">
        <v>107991.01045548457</v>
      </c>
      <c r="J27" s="7">
        <v>103675.42022963033</v>
      </c>
      <c r="K27" s="7">
        <v>94883.16</v>
      </c>
    </row>
    <row r="28" spans="1:11" ht="15.75" customHeight="1" x14ac:dyDescent="0.3">
      <c r="A28" s="2" t="s">
        <v>57</v>
      </c>
      <c r="B28" s="8">
        <v>2764341.5734566785</v>
      </c>
      <c r="C28" s="6">
        <v>2733059.9814637769</v>
      </c>
      <c r="D28" s="6">
        <v>2638925.0452246093</v>
      </c>
      <c r="E28" s="8">
        <v>2524386.148878722</v>
      </c>
      <c r="F28" s="7">
        <v>2448716.2096065199</v>
      </c>
      <c r="G28" s="6">
        <v>2652540.1613147175</v>
      </c>
      <c r="H28" s="7">
        <v>2605287.7726061642</v>
      </c>
      <c r="I28" s="7">
        <v>2545991.3188351188</v>
      </c>
      <c r="J28" s="7">
        <v>2520852.1785968738</v>
      </c>
      <c r="K28" s="7">
        <v>2680216</v>
      </c>
    </row>
    <row r="29" spans="1:11" ht="15.75" customHeight="1" x14ac:dyDescent="0.3">
      <c r="A29" s="2" t="s">
        <v>58</v>
      </c>
      <c r="B29" s="8">
        <v>12256261.004249342</v>
      </c>
      <c r="C29" s="6">
        <v>12141373.917280456</v>
      </c>
      <c r="D29" s="6">
        <v>11943701.022076</v>
      </c>
      <c r="E29" s="8">
        <v>11360895.609073851</v>
      </c>
      <c r="F29" s="7">
        <v>10459701.1773229</v>
      </c>
      <c r="G29" s="6">
        <v>11430547.068725135</v>
      </c>
      <c r="H29" s="7">
        <v>11473791.002516411</v>
      </c>
      <c r="I29" s="7">
        <v>11546445.647685915</v>
      </c>
      <c r="J29" s="7">
        <v>11669061.394474255</v>
      </c>
      <c r="K29" s="7">
        <v>11697587.66</v>
      </c>
    </row>
    <row r="30" spans="1:11" ht="15.75" customHeight="1" x14ac:dyDescent="0.3">
      <c r="A30" s="2" t="s">
        <v>59</v>
      </c>
      <c r="B30" s="8">
        <v>582962.66537138051</v>
      </c>
      <c r="C30" s="6">
        <v>563157.91668874887</v>
      </c>
      <c r="D30" s="6">
        <v>544307.98815222573</v>
      </c>
      <c r="E30" s="8">
        <v>522280.66568744497</v>
      </c>
      <c r="F30" s="7">
        <v>524627.39738833497</v>
      </c>
      <c r="G30" s="6">
        <v>637858.76787032152</v>
      </c>
      <c r="H30" s="7">
        <v>620190.65199171996</v>
      </c>
      <c r="I30" s="7">
        <v>609465.65592280298</v>
      </c>
      <c r="J30" s="7">
        <v>619419.22975228762</v>
      </c>
      <c r="K30" s="7">
        <v>654215.32000000007</v>
      </c>
    </row>
    <row r="31" spans="1:11" ht="15.75" customHeight="1" x14ac:dyDescent="0.3">
      <c r="A31" s="2" t="s">
        <v>60</v>
      </c>
      <c r="B31" s="8">
        <f t="shared" ref="B31:G31" si="6">SUM(B32:B37)</f>
        <v>820384.38316247519</v>
      </c>
      <c r="C31" s="8">
        <f t="shared" si="6"/>
        <v>770117.33299175103</v>
      </c>
      <c r="D31" s="8">
        <f t="shared" si="6"/>
        <v>1102814.9219928924</v>
      </c>
      <c r="E31" s="8">
        <f t="shared" si="6"/>
        <v>957297.4253618567</v>
      </c>
      <c r="F31" s="8">
        <f t="shared" si="6"/>
        <v>823465.04347841884</v>
      </c>
      <c r="G31" s="8">
        <f t="shared" si="6"/>
        <v>1059271.3908090547</v>
      </c>
      <c r="H31" s="8">
        <v>956641.31919691013</v>
      </c>
      <c r="I31" s="8">
        <f t="shared" ref="I31:K31" si="7">SUM(I32:I37)</f>
        <v>839846.72543566755</v>
      </c>
      <c r="J31" s="8">
        <f t="shared" si="7"/>
        <v>808597.29299426265</v>
      </c>
      <c r="K31" s="8">
        <f t="shared" si="7"/>
        <v>805455.72000000009</v>
      </c>
    </row>
    <row r="32" spans="1:11" ht="15.75" customHeight="1" x14ac:dyDescent="0.3">
      <c r="A32" s="2" t="s">
        <v>61</v>
      </c>
      <c r="B32" s="8">
        <v>663639.85713217454</v>
      </c>
      <c r="C32" s="6">
        <v>609439.25055446615</v>
      </c>
      <c r="D32" s="6">
        <v>950871.02007771749</v>
      </c>
      <c r="E32" s="8">
        <v>825867.30353658681</v>
      </c>
      <c r="F32" s="7">
        <v>705113.65805812599</v>
      </c>
      <c r="G32" s="6">
        <v>906874.61560264195</v>
      </c>
      <c r="H32" s="7">
        <v>815236.48611475457</v>
      </c>
      <c r="I32" s="7">
        <v>712168.23676738702</v>
      </c>
      <c r="J32" s="7">
        <v>679305.22771154414</v>
      </c>
      <c r="K32" s="7">
        <v>667810.59000000008</v>
      </c>
    </row>
    <row r="33" spans="1:11" ht="15.75" customHeight="1" x14ac:dyDescent="0.3">
      <c r="A33" s="2" t="s">
        <v>62</v>
      </c>
      <c r="B33" s="8">
        <v>242.69452722025395</v>
      </c>
      <c r="C33" s="6">
        <v>168.37751154567621</v>
      </c>
      <c r="D33" s="6">
        <v>171.76164811864214</v>
      </c>
      <c r="E33" s="8">
        <v>167.99264201414957</v>
      </c>
      <c r="F33" s="7">
        <v>122.669485034277</v>
      </c>
      <c r="G33" s="6">
        <v>184.86211297120451</v>
      </c>
      <c r="H33" s="7">
        <v>181.70408040739437</v>
      </c>
      <c r="I33" s="7">
        <v>176.65430229461251</v>
      </c>
      <c r="J33" s="7">
        <v>175.25141008408605</v>
      </c>
      <c r="K33" s="7">
        <v>176.38</v>
      </c>
    </row>
    <row r="34" spans="1:11" ht="15.75" customHeight="1" x14ac:dyDescent="0.3">
      <c r="A34" s="2" t="s">
        <v>63</v>
      </c>
      <c r="B34" s="8">
        <v>6098.9772402764738</v>
      </c>
      <c r="C34" s="6">
        <v>5466.082399191263</v>
      </c>
      <c r="D34" s="6">
        <v>5043.4292444789689</v>
      </c>
      <c r="E34" s="8">
        <v>4419.6187375272766</v>
      </c>
      <c r="F34" s="7">
        <v>4101.82122808026</v>
      </c>
      <c r="G34" s="6">
        <v>4908.5849394016459</v>
      </c>
      <c r="H34" s="7">
        <v>4881.3692667183504</v>
      </c>
      <c r="I34" s="7">
        <v>4745.1964938257679</v>
      </c>
      <c r="J34" s="7">
        <v>4686.6315157786503</v>
      </c>
      <c r="K34" s="7">
        <v>4621.74</v>
      </c>
    </row>
    <row r="35" spans="1:11" ht="15.75" customHeight="1" x14ac:dyDescent="0.3">
      <c r="A35" s="2" t="s">
        <v>64</v>
      </c>
      <c r="B35" s="8">
        <v>78653.261820628948</v>
      </c>
      <c r="C35" s="6">
        <v>85410.224714687778</v>
      </c>
      <c r="D35" s="6">
        <v>79542.236692889419</v>
      </c>
      <c r="E35" s="8">
        <v>63013.240505072892</v>
      </c>
      <c r="F35" s="7">
        <v>52643.577447591</v>
      </c>
      <c r="G35" s="6">
        <v>83531.84003141112</v>
      </c>
      <c r="H35" s="7">
        <v>73813.443546082141</v>
      </c>
      <c r="I35" s="7">
        <v>61155.628605240854</v>
      </c>
      <c r="J35" s="7">
        <v>60054.089230828104</v>
      </c>
      <c r="K35" s="7">
        <v>63120.209999999992</v>
      </c>
    </row>
    <row r="36" spans="1:11" ht="15.75" customHeight="1" x14ac:dyDescent="0.3">
      <c r="A36" s="2" t="s">
        <v>65</v>
      </c>
      <c r="B36" s="8">
        <v>55045.914603363592</v>
      </c>
      <c r="C36" s="6">
        <v>53270.882256415498</v>
      </c>
      <c r="D36" s="6">
        <v>51145.743360452077</v>
      </c>
      <c r="E36" s="8">
        <v>48454.780178087945</v>
      </c>
      <c r="F36" s="7">
        <v>46549.309617627398</v>
      </c>
      <c r="G36" s="6">
        <v>48865.187284517793</v>
      </c>
      <c r="H36" s="7">
        <v>47598.177187251073</v>
      </c>
      <c r="I36" s="7">
        <v>46684.473472643891</v>
      </c>
      <c r="J36" s="7">
        <v>46584.264121149958</v>
      </c>
      <c r="K36" s="7">
        <v>47111.520000000004</v>
      </c>
    </row>
    <row r="37" spans="1:11" ht="15.75" customHeight="1" x14ac:dyDescent="0.3">
      <c r="A37" s="2" t="s">
        <v>66</v>
      </c>
      <c r="B37" s="8">
        <v>16703.677838811342</v>
      </c>
      <c r="C37" s="6">
        <v>16362.515555444777</v>
      </c>
      <c r="D37" s="6">
        <v>16040.730969235852</v>
      </c>
      <c r="E37" s="8">
        <v>15374.489762567544</v>
      </c>
      <c r="F37" s="7">
        <v>14934.007641959801</v>
      </c>
      <c r="G37" s="6">
        <v>14906.300838110941</v>
      </c>
      <c r="H37" s="7">
        <v>14930.139001696558</v>
      </c>
      <c r="I37" s="7">
        <v>14916.535794275454</v>
      </c>
      <c r="J37" s="7">
        <v>17791.829004877749</v>
      </c>
      <c r="K37" s="7">
        <v>22615.279999999999</v>
      </c>
    </row>
    <row r="38" spans="1:11" ht="15.75" customHeight="1" x14ac:dyDescent="0.3">
      <c r="A38" s="2" t="s">
        <v>67</v>
      </c>
      <c r="B38" s="8">
        <f t="shared" ref="B38:G38" si="8">SUM(B39:B42)</f>
        <v>14018169.837417275</v>
      </c>
      <c r="C38" s="8">
        <f t="shared" si="8"/>
        <v>13297990.31876431</v>
      </c>
      <c r="D38" s="8">
        <f t="shared" si="8"/>
        <v>12323041.87245601</v>
      </c>
      <c r="E38" s="8">
        <f t="shared" si="8"/>
        <v>11227068.751385478</v>
      </c>
      <c r="F38" s="8">
        <f t="shared" si="8"/>
        <v>10537144.829265604</v>
      </c>
      <c r="G38" s="8">
        <f t="shared" si="8"/>
        <v>9309924.8549673539</v>
      </c>
      <c r="H38" s="8">
        <v>8527659.3288213015</v>
      </c>
      <c r="I38" s="8">
        <f t="shared" ref="I38:K38" si="9">SUM(I39:I42)</f>
        <v>7776896.9676714037</v>
      </c>
      <c r="J38" s="8">
        <f t="shared" si="9"/>
        <v>7858698.2864426868</v>
      </c>
      <c r="K38" s="8">
        <f t="shared" si="9"/>
        <v>7708113.8499999996</v>
      </c>
    </row>
    <row r="39" spans="1:11" ht="15.75" customHeight="1" x14ac:dyDescent="0.3">
      <c r="A39" s="2" t="s">
        <v>68</v>
      </c>
      <c r="B39" s="8">
        <v>11716641.298641311</v>
      </c>
      <c r="C39" s="6">
        <v>11027867.514642131</v>
      </c>
      <c r="D39" s="6">
        <v>10126351.668874981</v>
      </c>
      <c r="E39" s="8">
        <v>9145604.7117966302</v>
      </c>
      <c r="F39" s="7">
        <v>8525163.9312817901</v>
      </c>
      <c r="G39" s="6">
        <v>7355312.0010273056</v>
      </c>
      <c r="H39" s="7">
        <v>6602077.0433745086</v>
      </c>
      <c r="I39" s="7">
        <v>5930246.0730431508</v>
      </c>
      <c r="J39" s="7">
        <v>6053663.281781232</v>
      </c>
      <c r="K39" s="7">
        <v>5933089.0099999998</v>
      </c>
    </row>
    <row r="40" spans="1:11" ht="15.75" customHeight="1" x14ac:dyDescent="0.3">
      <c r="A40" s="2" t="s">
        <v>69</v>
      </c>
      <c r="B40" s="8">
        <v>21014.867156763372</v>
      </c>
      <c r="C40" s="6">
        <v>20776.861382734038</v>
      </c>
      <c r="D40" s="6">
        <v>20174.09498750596</v>
      </c>
      <c r="E40" s="8">
        <v>19105.479210479658</v>
      </c>
      <c r="F40" s="7">
        <v>18801.800630641901</v>
      </c>
      <c r="G40" s="6">
        <v>20172.099603619816</v>
      </c>
      <c r="H40" s="7">
        <v>19661.39755200511</v>
      </c>
      <c r="I40" s="7">
        <v>18542.430927097485</v>
      </c>
      <c r="J40" s="7">
        <v>18127.895663702751</v>
      </c>
      <c r="K40" s="7">
        <v>17703.150000000001</v>
      </c>
    </row>
    <row r="41" spans="1:11" ht="15.75" customHeight="1" x14ac:dyDescent="0.3">
      <c r="A41" s="2" t="s">
        <v>70</v>
      </c>
      <c r="B41" s="8">
        <v>805669.68534518604</v>
      </c>
      <c r="C41" s="6">
        <v>805005.41588822403</v>
      </c>
      <c r="D41" s="6">
        <v>796529.97110560699</v>
      </c>
      <c r="E41" s="8">
        <v>752704.62274334463</v>
      </c>
      <c r="F41" s="7">
        <v>728692.96477625205</v>
      </c>
      <c r="G41" s="6">
        <v>728492.70315102092</v>
      </c>
      <c r="H41" s="7">
        <v>727005.79057102231</v>
      </c>
      <c r="I41" s="7">
        <v>730211.65640162723</v>
      </c>
      <c r="J41" s="7">
        <v>734432.87091841467</v>
      </c>
      <c r="K41" s="7">
        <v>765640.63</v>
      </c>
    </row>
    <row r="42" spans="1:11" ht="15.75" customHeight="1" x14ac:dyDescent="0.3">
      <c r="A42" s="2" t="s">
        <v>71</v>
      </c>
      <c r="B42" s="8">
        <v>1474843.9862740152</v>
      </c>
      <c r="C42" s="6">
        <v>1444340.5268512224</v>
      </c>
      <c r="D42" s="6">
        <v>1379986.1374879172</v>
      </c>
      <c r="E42" s="8">
        <v>1309653.9376350252</v>
      </c>
      <c r="F42" s="7">
        <v>1264486.1325769201</v>
      </c>
      <c r="G42" s="6">
        <v>1205948.0511854074</v>
      </c>
      <c r="H42" s="7">
        <v>1178915.0973237655</v>
      </c>
      <c r="I42" s="7">
        <v>1097896.8072995278</v>
      </c>
      <c r="J42" s="7">
        <v>1052474.2380793372</v>
      </c>
      <c r="K42" s="7">
        <v>991681.05999999994</v>
      </c>
    </row>
    <row r="43" spans="1:11" ht="15.75" customHeight="1" x14ac:dyDescent="0.3">
      <c r="A43" s="2" t="s">
        <v>72</v>
      </c>
      <c r="B43" s="8">
        <v>181358.27824665903</v>
      </c>
      <c r="C43" s="6">
        <v>174833.40296387704</v>
      </c>
      <c r="D43" s="6">
        <v>167664.09804956889</v>
      </c>
      <c r="E43" s="8">
        <v>160767.06490256163</v>
      </c>
      <c r="F43" s="7">
        <v>158041.02261503899</v>
      </c>
      <c r="G43" s="6">
        <v>162935.03092678727</v>
      </c>
      <c r="H43" s="7">
        <v>156484.01832250194</v>
      </c>
      <c r="I43" s="7">
        <v>152629.89991580351</v>
      </c>
      <c r="J43" s="7">
        <v>146579.95656028739</v>
      </c>
      <c r="K43" s="7">
        <v>141329.25</v>
      </c>
    </row>
    <row r="44" spans="1:11" ht="15.75" customHeight="1" x14ac:dyDescent="0.3">
      <c r="A44" s="2" t="s">
        <v>73</v>
      </c>
      <c r="B44" s="8">
        <f t="shared" ref="B44:G44" si="10">SUM(B45:B46)</f>
        <v>4933796.1806786396</v>
      </c>
      <c r="C44" s="8">
        <f t="shared" si="10"/>
        <v>3807819.5497432994</v>
      </c>
      <c r="D44" s="8">
        <f t="shared" si="10"/>
        <v>3009349.5223022685</v>
      </c>
      <c r="E44" s="8">
        <f t="shared" si="10"/>
        <v>2586283.7361040129</v>
      </c>
      <c r="F44" s="8">
        <f t="shared" si="10"/>
        <v>2349683.5279662027</v>
      </c>
      <c r="G44" s="8">
        <f t="shared" si="10"/>
        <v>2148388.5316674146</v>
      </c>
      <c r="H44" s="8">
        <v>2094676.5488253131</v>
      </c>
      <c r="I44" s="8">
        <f t="shared" ref="I44:K44" si="11">SUM(I45:I46)</f>
        <v>2053001.8365102548</v>
      </c>
      <c r="J44" s="8">
        <f t="shared" si="11"/>
        <v>2027512.2971423285</v>
      </c>
      <c r="K44" s="8">
        <f t="shared" si="11"/>
        <v>2123896.7999999998</v>
      </c>
    </row>
    <row r="45" spans="1:11" ht="15.75" customHeight="1" x14ac:dyDescent="0.3">
      <c r="A45" s="2" t="s">
        <v>74</v>
      </c>
      <c r="B45" s="8">
        <v>4584783.3448848128</v>
      </c>
      <c r="C45" s="6">
        <v>3502803.39011253</v>
      </c>
      <c r="D45" s="6">
        <v>2718364.5300965463</v>
      </c>
      <c r="E45" s="8">
        <v>2318546.5994565291</v>
      </c>
      <c r="F45" s="7">
        <v>2097668.3471746198</v>
      </c>
      <c r="G45" s="6">
        <v>1850835.5732918698</v>
      </c>
      <c r="H45" s="7">
        <v>1807434.2790999385</v>
      </c>
      <c r="I45" s="7">
        <v>1782325.9103058125</v>
      </c>
      <c r="J45" s="7">
        <v>1748753.6950280236</v>
      </c>
      <c r="K45" s="7">
        <v>1851828.27</v>
      </c>
    </row>
    <row r="46" spans="1:11" ht="15.75" customHeight="1" x14ac:dyDescent="0.3">
      <c r="A46" s="2" t="s">
        <v>75</v>
      </c>
      <c r="B46" s="8">
        <v>349012.83579382714</v>
      </c>
      <c r="C46" s="6">
        <v>305016.15963076934</v>
      </c>
      <c r="D46" s="6">
        <v>290984.9922057222</v>
      </c>
      <c r="E46" s="8">
        <v>267737.13664748386</v>
      </c>
      <c r="F46" s="7">
        <v>252015.180791583</v>
      </c>
      <c r="G46" s="6">
        <v>297552.95837554464</v>
      </c>
      <c r="H46" s="7">
        <v>287242.26972537459</v>
      </c>
      <c r="I46" s="7">
        <v>270675.92620444234</v>
      </c>
      <c r="J46" s="7">
        <v>278758.6021143049</v>
      </c>
      <c r="K46" s="7">
        <v>272068.52999999997</v>
      </c>
    </row>
    <row r="47" spans="1:11" ht="15.75" customHeight="1" x14ac:dyDescent="0.3">
      <c r="A47" s="2" t="s">
        <v>76</v>
      </c>
      <c r="B47" s="8">
        <v>4317427.6798603553</v>
      </c>
      <c r="C47" s="6">
        <v>4283647.4000832448</v>
      </c>
      <c r="D47" s="6">
        <v>4213070.4077436244</v>
      </c>
      <c r="E47" s="8">
        <v>4053083.2017877679</v>
      </c>
      <c r="F47" s="7">
        <v>3963589.18273438</v>
      </c>
      <c r="G47" s="6">
        <v>4366350.5991034769</v>
      </c>
      <c r="H47" s="7">
        <v>4471861.7541800393</v>
      </c>
      <c r="I47" s="7">
        <v>4694391.2651809659</v>
      </c>
      <c r="J47" s="7">
        <v>4903604.6445433246</v>
      </c>
      <c r="K47" s="7">
        <v>5264695.8899999997</v>
      </c>
    </row>
    <row r="48" spans="1:11" ht="15.75" customHeight="1" x14ac:dyDescent="0.3">
      <c r="A48" s="2" t="s">
        <v>77</v>
      </c>
      <c r="B48" s="8">
        <v>2491686.0707821576</v>
      </c>
      <c r="C48" s="6">
        <v>2458543.3082491276</v>
      </c>
      <c r="D48" s="6">
        <v>2400315.1000191062</v>
      </c>
      <c r="E48" s="8">
        <v>2346816.8230311368</v>
      </c>
      <c r="F48" s="7">
        <v>2345583.6818176801</v>
      </c>
      <c r="G48" s="6">
        <v>2547296.2540552462</v>
      </c>
      <c r="H48" s="7">
        <v>2544135.6843922343</v>
      </c>
      <c r="I48" s="7">
        <v>2529675.1918822294</v>
      </c>
      <c r="J48" s="7">
        <v>2536292.0276856655</v>
      </c>
      <c r="K48" s="7">
        <v>2516073.9700000002</v>
      </c>
    </row>
    <row r="49" spans="1:11" ht="15.75" customHeight="1" x14ac:dyDescent="0.3">
      <c r="A49" s="2" t="s">
        <v>78</v>
      </c>
      <c r="B49" s="8">
        <v>15402.96870318824</v>
      </c>
      <c r="C49" s="6">
        <v>15244.516253624139</v>
      </c>
      <c r="D49" s="6">
        <v>15150.107241799071</v>
      </c>
      <c r="E49" s="8">
        <v>14686.076231808171</v>
      </c>
      <c r="F49" s="7">
        <v>14318.779973898299</v>
      </c>
      <c r="G49" s="6">
        <v>14723.694689973332</v>
      </c>
      <c r="H49" s="7">
        <v>14440.877727134797</v>
      </c>
      <c r="I49" s="7">
        <v>14466.503944603179</v>
      </c>
      <c r="J49" s="7">
        <v>14374.749589244837</v>
      </c>
      <c r="K49" s="7">
        <v>14473.97</v>
      </c>
    </row>
    <row r="50" spans="1:11" ht="15.75" customHeight="1" x14ac:dyDescent="0.3">
      <c r="A50" s="2" t="s">
        <v>79</v>
      </c>
      <c r="B50" s="8">
        <v>1560189.9131263716</v>
      </c>
      <c r="C50" s="6">
        <v>1526808.5657018689</v>
      </c>
      <c r="D50" s="6">
        <v>1495125.5598100501</v>
      </c>
      <c r="E50" s="8">
        <v>1467225.1840702621</v>
      </c>
      <c r="F50" s="7">
        <v>1471655.7495611</v>
      </c>
      <c r="G50" s="6">
        <v>1470220.3911196177</v>
      </c>
      <c r="H50" s="7">
        <v>1531581.8213491456</v>
      </c>
      <c r="I50" s="7">
        <v>1563619.5493507301</v>
      </c>
      <c r="J50" s="7">
        <v>1569517.7494434752</v>
      </c>
      <c r="K50" s="7">
        <v>1644782.7799999998</v>
      </c>
    </row>
    <row r="51" spans="1:11" ht="15.75" customHeight="1" x14ac:dyDescent="0.3">
      <c r="A51" s="2" t="s">
        <v>80</v>
      </c>
      <c r="B51" s="8">
        <v>1364894.9296259121</v>
      </c>
      <c r="C51" s="6">
        <v>1338402.6127516716</v>
      </c>
      <c r="D51" s="6">
        <v>1321112.8172469134</v>
      </c>
      <c r="E51" s="8">
        <v>1303548.3605267913</v>
      </c>
      <c r="F51" s="7">
        <v>1313388.73058463</v>
      </c>
      <c r="G51" s="6">
        <v>1519660.4359432491</v>
      </c>
      <c r="H51" s="7">
        <v>1507561.0715701103</v>
      </c>
      <c r="I51" s="7">
        <v>1507982.7937122616</v>
      </c>
      <c r="J51" s="7">
        <v>1518933.0856218762</v>
      </c>
      <c r="K51" s="7">
        <v>1498707.0799999998</v>
      </c>
    </row>
    <row r="52" spans="1:11" ht="15.75" customHeight="1" x14ac:dyDescent="0.3">
      <c r="A52" s="2" t="s">
        <v>81</v>
      </c>
      <c r="B52" s="8">
        <v>560339.6925516245</v>
      </c>
      <c r="C52" s="6">
        <v>544755.07115488604</v>
      </c>
      <c r="D52" s="6">
        <v>529994.80334330164</v>
      </c>
      <c r="E52" s="8">
        <v>508633.27664239879</v>
      </c>
      <c r="F52" s="7">
        <v>484736.89232895599</v>
      </c>
      <c r="G52" s="6">
        <v>474174.76888081821</v>
      </c>
      <c r="H52" s="7">
        <v>472701.59868020692</v>
      </c>
      <c r="I52" s="7">
        <v>474237.25539954851</v>
      </c>
      <c r="J52" s="7">
        <v>475690.0014199306</v>
      </c>
      <c r="K52" s="7">
        <v>484336.5</v>
      </c>
    </row>
    <row r="53" spans="1:11" ht="15.75" customHeight="1" x14ac:dyDescent="0.3">
      <c r="A53" s="2" t="s">
        <v>82</v>
      </c>
      <c r="B53" s="8">
        <v>2002535.31905988</v>
      </c>
      <c r="C53" s="6">
        <v>2157290.7676388766</v>
      </c>
      <c r="D53" s="6">
        <v>2287164.716138362</v>
      </c>
      <c r="E53" s="8">
        <v>2262899.2119782474</v>
      </c>
      <c r="F53" s="7">
        <v>2266544.7050577002</v>
      </c>
      <c r="G53" s="6">
        <v>2405544.7458116394</v>
      </c>
      <c r="H53" s="7">
        <v>2360640.9753057212</v>
      </c>
      <c r="I53" s="7">
        <v>2310545.7107763733</v>
      </c>
      <c r="J53" s="7">
        <v>2257471.3479455109</v>
      </c>
      <c r="K53" s="7">
        <v>2151384.0499999998</v>
      </c>
    </row>
    <row r="54" spans="1:11" ht="15.75" customHeight="1" x14ac:dyDescent="0.3"/>
    <row r="55" spans="1:11" ht="15.75" customHeight="1" x14ac:dyDescent="0.3"/>
    <row r="56" spans="1:11" ht="15.75" customHeight="1" x14ac:dyDescent="0.3"/>
    <row r="57" spans="1:11" ht="15.75" customHeight="1" x14ac:dyDescent="0.3"/>
    <row r="58" spans="1:11" ht="15.75" customHeight="1" x14ac:dyDescent="0.3"/>
    <row r="59" spans="1:11" ht="15.75" customHeight="1" x14ac:dyDescent="0.3"/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1"/>
  <sheetViews>
    <sheetView workbookViewId="0"/>
  </sheetViews>
  <sheetFormatPr defaultColWidth="12.6640625" defaultRowHeight="15" customHeight="1" x14ac:dyDescent="0.3"/>
  <cols>
    <col min="1" max="1" width="12.6640625" customWidth="1"/>
    <col min="2" max="2" width="64.109375" customWidth="1"/>
    <col min="3" max="12" width="12.77734375" customWidth="1"/>
    <col min="13" max="26" width="8.6640625" customWidth="1"/>
  </cols>
  <sheetData>
    <row r="1" spans="1:12" ht="14.4" x14ac:dyDescent="0.3">
      <c r="B1" s="10" t="s">
        <v>83</v>
      </c>
    </row>
    <row r="2" spans="1:12" ht="14.4" x14ac:dyDescent="0.3">
      <c r="A2" s="2" t="s">
        <v>84</v>
      </c>
      <c r="B2" s="2" t="s">
        <v>85</v>
      </c>
      <c r="C2" s="2">
        <v>2024</v>
      </c>
      <c r="D2" s="2">
        <v>2023</v>
      </c>
      <c r="E2" s="2">
        <v>2022</v>
      </c>
      <c r="F2" s="2">
        <v>2021</v>
      </c>
      <c r="G2" s="2">
        <v>2020</v>
      </c>
      <c r="H2" s="2">
        <v>2019</v>
      </c>
      <c r="I2" s="2">
        <v>2018</v>
      </c>
      <c r="J2" s="2">
        <v>2017</v>
      </c>
      <c r="K2" s="2">
        <v>2016</v>
      </c>
      <c r="L2" s="2">
        <v>2015</v>
      </c>
    </row>
    <row r="3" spans="1:12" ht="14.4" x14ac:dyDescent="0.3">
      <c r="A3" s="2" t="s">
        <v>86</v>
      </c>
      <c r="B3" s="2" t="s">
        <v>86</v>
      </c>
      <c r="C3" s="7">
        <v>19535878.834762558</v>
      </c>
      <c r="D3" s="7">
        <v>19306490.276994217</v>
      </c>
      <c r="E3" s="7">
        <v>19091072.816407543</v>
      </c>
      <c r="F3" s="7">
        <v>18738414.419014249</v>
      </c>
      <c r="G3" s="7">
        <v>18348175.935322382</v>
      </c>
      <c r="H3" s="7">
        <v>17958583.70767992</v>
      </c>
      <c r="I3" s="7">
        <v>17544147.74041225</v>
      </c>
      <c r="J3" s="7">
        <v>17179495.28662229</v>
      </c>
      <c r="K3" s="7">
        <v>16607337.334480276</v>
      </c>
      <c r="L3" s="7">
        <v>15952220.140000001</v>
      </c>
    </row>
    <row r="4" spans="1:12" ht="14.4" x14ac:dyDescent="0.3">
      <c r="A4" s="2" t="s">
        <v>87</v>
      </c>
      <c r="B4" s="2" t="s">
        <v>88</v>
      </c>
      <c r="C4" s="7">
        <v>4473237.409239443</v>
      </c>
      <c r="D4" s="7">
        <v>4266504.9878755417</v>
      </c>
      <c r="E4" s="7">
        <v>4391424.719320884</v>
      </c>
      <c r="F4" s="7">
        <v>5366193.4083830938</v>
      </c>
      <c r="G4" s="7">
        <v>5819391.2348455684</v>
      </c>
      <c r="H4" s="7">
        <v>6362630.7689196961</v>
      </c>
      <c r="I4" s="7">
        <v>6092477.0958956834</v>
      </c>
      <c r="J4" s="7">
        <v>6031717.5992665449</v>
      </c>
      <c r="K4" s="7">
        <v>5759816.7485471703</v>
      </c>
      <c r="L4" s="7">
        <v>6732507.5699999994</v>
      </c>
    </row>
    <row r="5" spans="1:12" ht="14.4" x14ac:dyDescent="0.3">
      <c r="B5" s="2" t="s">
        <v>87</v>
      </c>
      <c r="C5" s="7">
        <v>6848461.3233296787</v>
      </c>
      <c r="D5" s="7">
        <v>6754959.2814313658</v>
      </c>
      <c r="E5" s="7">
        <v>6661391.8398462432</v>
      </c>
      <c r="F5" s="7">
        <v>6502257.6036022529</v>
      </c>
      <c r="G5" s="7">
        <v>6291592.1331146043</v>
      </c>
      <c r="H5" s="7">
        <v>6469831.879803923</v>
      </c>
      <c r="I5" s="8">
        <v>6420590.2816791385</v>
      </c>
      <c r="J5" s="7">
        <v>6288896.7970060995</v>
      </c>
      <c r="K5" s="7">
        <v>6302232.4468281101</v>
      </c>
      <c r="L5" s="7">
        <v>6586618.6299999999</v>
      </c>
    </row>
    <row r="6" spans="1:12" ht="14.4" x14ac:dyDescent="0.3">
      <c r="B6" s="2" t="s">
        <v>89</v>
      </c>
      <c r="C6" s="7">
        <v>353922.19795035454</v>
      </c>
      <c r="D6" s="7">
        <v>351936.62930577941</v>
      </c>
      <c r="E6" s="7">
        <v>333391.69632294116</v>
      </c>
      <c r="F6" s="7">
        <v>340923.41879381059</v>
      </c>
      <c r="G6" s="7">
        <v>267245.90615844401</v>
      </c>
      <c r="H6" s="7">
        <v>275231.5865371048</v>
      </c>
      <c r="I6" s="7">
        <v>289292.29999150452</v>
      </c>
      <c r="J6" s="7">
        <v>269620.91551913891</v>
      </c>
      <c r="K6" s="7">
        <v>231569.73458388587</v>
      </c>
      <c r="L6" s="7">
        <v>272431.53000000003</v>
      </c>
    </row>
    <row r="7" spans="1:12" ht="14.4" x14ac:dyDescent="0.3">
      <c r="B7" s="2" t="s">
        <v>90</v>
      </c>
      <c r="C7" s="7">
        <v>208142.37111840211</v>
      </c>
      <c r="D7" s="7">
        <v>192004.93245453225</v>
      </c>
      <c r="E7" s="7">
        <v>170449.88973531587</v>
      </c>
      <c r="F7" s="7">
        <v>150013.05822160546</v>
      </c>
      <c r="G7" s="7">
        <v>126769.708800158</v>
      </c>
      <c r="H7" s="7">
        <v>122112.03534092069</v>
      </c>
      <c r="I7" s="7">
        <v>115780.10487246953</v>
      </c>
      <c r="J7" s="7">
        <v>107991.01045548457</v>
      </c>
      <c r="K7" s="7">
        <v>103675.42022963033</v>
      </c>
      <c r="L7" s="7">
        <v>94883.16</v>
      </c>
    </row>
    <row r="8" spans="1:12" ht="14.4" x14ac:dyDescent="0.3">
      <c r="B8" s="2" t="s">
        <v>91</v>
      </c>
      <c r="C8" s="7">
        <v>2764341.5734566785</v>
      </c>
      <c r="D8" s="7">
        <v>2733059.9814637769</v>
      </c>
      <c r="E8" s="7">
        <v>2638925.0452246093</v>
      </c>
      <c r="F8" s="7">
        <v>2524386.148878722</v>
      </c>
      <c r="G8" s="7">
        <v>2448716.2096065199</v>
      </c>
      <c r="H8" s="7">
        <v>2652540.1613147175</v>
      </c>
      <c r="I8" s="7">
        <v>2605287.7726061642</v>
      </c>
      <c r="J8" s="7">
        <v>2545991.3188351188</v>
      </c>
      <c r="K8" s="7">
        <v>2520852.1785968738</v>
      </c>
      <c r="L8" s="7">
        <v>2680216</v>
      </c>
    </row>
    <row r="9" spans="1:12" ht="14.4" x14ac:dyDescent="0.3">
      <c r="A9" s="2" t="s">
        <v>92</v>
      </c>
      <c r="B9" s="2" t="s">
        <v>93</v>
      </c>
      <c r="C9" s="7">
        <v>12256261.004249342</v>
      </c>
      <c r="D9" s="7">
        <v>12141373.917280456</v>
      </c>
      <c r="E9" s="7">
        <v>11943701.022076</v>
      </c>
      <c r="F9" s="7">
        <v>11360895.609073851</v>
      </c>
      <c r="G9" s="7">
        <v>10459701.1773229</v>
      </c>
      <c r="H9" s="7">
        <v>11430547.068725135</v>
      </c>
      <c r="I9" s="7">
        <v>11473791.002516411</v>
      </c>
      <c r="J9" s="7">
        <v>11546445.647685915</v>
      </c>
      <c r="K9" s="7">
        <v>11669061.394474255</v>
      </c>
      <c r="L9" s="7">
        <v>11697587.66</v>
      </c>
    </row>
    <row r="10" spans="1:12" ht="14.4" x14ac:dyDescent="0.3">
      <c r="B10" s="2" t="s">
        <v>94</v>
      </c>
      <c r="C10" s="7">
        <v>582962.66537138051</v>
      </c>
      <c r="D10" s="7">
        <v>563157.91668874887</v>
      </c>
      <c r="E10" s="7">
        <v>544307.98815222573</v>
      </c>
      <c r="F10" s="7">
        <v>522280.66568744497</v>
      </c>
      <c r="G10" s="7">
        <v>524627.39738833497</v>
      </c>
      <c r="H10" s="7">
        <v>637858.76787032152</v>
      </c>
      <c r="I10" s="7">
        <v>620190.65199171996</v>
      </c>
      <c r="J10" s="7">
        <v>609465.65592280298</v>
      </c>
      <c r="K10" s="7">
        <v>619419.22975228762</v>
      </c>
      <c r="L10" s="7">
        <v>654215.32000000007</v>
      </c>
    </row>
    <row r="11" spans="1:12" ht="14.4" x14ac:dyDescent="0.3">
      <c r="B11" s="2" t="s">
        <v>95</v>
      </c>
      <c r="C11" s="7">
        <v>820384.38316247519</v>
      </c>
      <c r="D11" s="7">
        <v>770117.33299175103</v>
      </c>
      <c r="E11" s="7">
        <v>1102814.9219928924</v>
      </c>
      <c r="F11" s="7">
        <v>957297.4253618567</v>
      </c>
      <c r="G11" s="7">
        <v>823465.04347841884</v>
      </c>
      <c r="H11" s="7">
        <v>1059271.3908090547</v>
      </c>
      <c r="I11" s="8">
        <v>956641.31919691013</v>
      </c>
      <c r="J11" s="7">
        <v>839846.72543566755</v>
      </c>
      <c r="K11" s="7">
        <v>808597.29299426265</v>
      </c>
      <c r="L11" s="7">
        <v>805455.72000000009</v>
      </c>
    </row>
    <row r="12" spans="1:12" ht="14.4" x14ac:dyDescent="0.3">
      <c r="B12" s="2" t="s">
        <v>96</v>
      </c>
      <c r="C12" s="7">
        <v>14018169.837417275</v>
      </c>
      <c r="D12" s="7">
        <v>13297990.31876431</v>
      </c>
      <c r="E12" s="7">
        <v>12323041.87245601</v>
      </c>
      <c r="F12" s="7">
        <v>11227068.751385478</v>
      </c>
      <c r="G12" s="7">
        <v>10537144.829265604</v>
      </c>
      <c r="H12" s="7">
        <v>9309924.8549673539</v>
      </c>
      <c r="I12" s="8">
        <v>8527659.3288213015</v>
      </c>
      <c r="J12" s="7">
        <v>7776896.9676714037</v>
      </c>
      <c r="K12" s="7">
        <v>7858698.2864426868</v>
      </c>
      <c r="L12" s="7">
        <v>7708113.8499999996</v>
      </c>
    </row>
    <row r="13" spans="1:12" ht="14.4" x14ac:dyDescent="0.3">
      <c r="B13" s="2" t="s">
        <v>97</v>
      </c>
      <c r="C13" s="7">
        <v>181358.27824665903</v>
      </c>
      <c r="D13" s="7">
        <v>174833.40296387704</v>
      </c>
      <c r="E13" s="7">
        <v>167664.09804956889</v>
      </c>
      <c r="F13" s="7">
        <v>160767.06490256163</v>
      </c>
      <c r="G13" s="7">
        <v>158041.02261503899</v>
      </c>
      <c r="H13" s="7">
        <v>162935.03092678727</v>
      </c>
      <c r="I13" s="7">
        <v>156484.01832250194</v>
      </c>
      <c r="J13" s="7">
        <v>152629.89991580351</v>
      </c>
      <c r="K13" s="7">
        <v>146579.95656028739</v>
      </c>
      <c r="L13" s="7">
        <v>141329.25</v>
      </c>
    </row>
    <row r="14" spans="1:12" ht="14.4" x14ac:dyDescent="0.3">
      <c r="B14" s="2" t="s">
        <v>98</v>
      </c>
      <c r="C14" s="7">
        <v>4933796.1806786396</v>
      </c>
      <c r="D14" s="7">
        <v>3807819.5497432994</v>
      </c>
      <c r="E14" s="7">
        <v>3009349.5223022685</v>
      </c>
      <c r="F14" s="7">
        <v>2586283.7361040129</v>
      </c>
      <c r="G14" s="7">
        <v>2349683.5279662027</v>
      </c>
      <c r="H14" s="7">
        <v>2148388.5316674146</v>
      </c>
      <c r="I14" s="8">
        <v>2094676.5488253131</v>
      </c>
      <c r="J14" s="7">
        <v>2053001.8365102548</v>
      </c>
      <c r="K14" s="7">
        <v>2027512.2971423285</v>
      </c>
      <c r="L14" s="7">
        <v>2123896.7999999998</v>
      </c>
    </row>
    <row r="15" spans="1:12" ht="14.4" x14ac:dyDescent="0.3">
      <c r="B15" s="2" t="s">
        <v>99</v>
      </c>
      <c r="C15" s="7">
        <v>4317427.6798603553</v>
      </c>
      <c r="D15" s="7">
        <v>4283647.4000832448</v>
      </c>
      <c r="E15" s="7">
        <v>4213070.4077436244</v>
      </c>
      <c r="F15" s="7">
        <v>4053083.2017877679</v>
      </c>
      <c r="G15" s="7">
        <v>3963589.18273438</v>
      </c>
      <c r="H15" s="7">
        <v>4366350.5991034769</v>
      </c>
      <c r="I15" s="7">
        <v>4471861.7541800393</v>
      </c>
      <c r="J15" s="7">
        <v>4694391.2651809659</v>
      </c>
      <c r="K15" s="7">
        <v>4903604.6445433246</v>
      </c>
      <c r="L15" s="7">
        <v>5264695.8899999997</v>
      </c>
    </row>
    <row r="16" spans="1:12" ht="14.4" x14ac:dyDescent="0.3">
      <c r="B16" s="2" t="s">
        <v>100</v>
      </c>
      <c r="C16" s="7">
        <v>2491686.0707821576</v>
      </c>
      <c r="D16" s="7">
        <v>2458543.3082491276</v>
      </c>
      <c r="E16" s="7">
        <v>2400315.1000191062</v>
      </c>
      <c r="F16" s="7">
        <v>2346816.8230311368</v>
      </c>
      <c r="G16" s="7">
        <v>2345583.6818176801</v>
      </c>
      <c r="H16" s="7">
        <v>2547296.2540552462</v>
      </c>
      <c r="I16" s="7">
        <v>2544135.6843922343</v>
      </c>
      <c r="J16" s="7">
        <v>2529675.1918822294</v>
      </c>
      <c r="K16" s="7">
        <v>2536292.0276856655</v>
      </c>
      <c r="L16" s="7">
        <v>2516073.9700000002</v>
      </c>
    </row>
    <row r="17" spans="2:12" ht="14.4" x14ac:dyDescent="0.3">
      <c r="B17" s="2" t="s">
        <v>101</v>
      </c>
      <c r="C17" s="7">
        <v>15402.96870318824</v>
      </c>
      <c r="D17" s="7">
        <v>15244.516253624139</v>
      </c>
      <c r="E17" s="7">
        <v>15150.107241799071</v>
      </c>
      <c r="F17" s="7">
        <v>14686.076231808171</v>
      </c>
      <c r="G17" s="7">
        <v>14318.779973898299</v>
      </c>
      <c r="H17" s="7">
        <v>14723.694689973332</v>
      </c>
      <c r="I17" s="7">
        <v>14440.877727134797</v>
      </c>
      <c r="J17" s="7">
        <v>14466.503944603179</v>
      </c>
      <c r="K17" s="7">
        <v>14374.749589244837</v>
      </c>
      <c r="L17" s="7">
        <v>14473.97</v>
      </c>
    </row>
    <row r="18" spans="2:12" ht="14.4" x14ac:dyDescent="0.3">
      <c r="B18" s="2" t="s">
        <v>102</v>
      </c>
      <c r="C18" s="7">
        <v>1560189.9131263716</v>
      </c>
      <c r="D18" s="7">
        <v>1526808.5657018689</v>
      </c>
      <c r="E18" s="7">
        <v>1495125.5598100501</v>
      </c>
      <c r="F18" s="7">
        <v>1467225.1840702621</v>
      </c>
      <c r="G18" s="7">
        <v>1471655.7495611</v>
      </c>
      <c r="H18" s="7">
        <v>1470220.3911196177</v>
      </c>
      <c r="I18" s="7">
        <v>1531581.8213491456</v>
      </c>
      <c r="J18" s="7">
        <v>1563619.5493507301</v>
      </c>
      <c r="K18" s="7">
        <v>1569517.7494434752</v>
      </c>
      <c r="L18" s="7">
        <v>1644782.7799999998</v>
      </c>
    </row>
    <row r="19" spans="2:12" ht="14.4" x14ac:dyDescent="0.3">
      <c r="B19" s="2" t="s">
        <v>25</v>
      </c>
      <c r="C19" s="7">
        <v>1364894.9296259121</v>
      </c>
      <c r="D19" s="7">
        <v>1338402.6127516716</v>
      </c>
      <c r="E19" s="7">
        <v>1321112.8172469134</v>
      </c>
      <c r="F19" s="7">
        <v>1303548.3605267913</v>
      </c>
      <c r="G19" s="7">
        <v>1313388.73058463</v>
      </c>
      <c r="H19" s="7">
        <v>1519660.4359432491</v>
      </c>
      <c r="I19" s="7">
        <v>1507561.0715701103</v>
      </c>
      <c r="J19" s="7">
        <v>1507982.7937122616</v>
      </c>
      <c r="K19" s="7">
        <v>1518933.0856218762</v>
      </c>
      <c r="L19" s="7">
        <v>1498707.0799999998</v>
      </c>
    </row>
    <row r="20" spans="2:12" ht="14.4" x14ac:dyDescent="0.3">
      <c r="B20" s="2" t="s">
        <v>103</v>
      </c>
      <c r="C20" s="7">
        <v>560339.6925516245</v>
      </c>
      <c r="D20" s="7">
        <v>544755.07115488604</v>
      </c>
      <c r="E20" s="7">
        <v>529994.80334330164</v>
      </c>
      <c r="F20" s="7">
        <v>508633.27664239879</v>
      </c>
      <c r="G20" s="7">
        <v>484736.89232895599</v>
      </c>
      <c r="H20" s="7">
        <v>474174.76888081821</v>
      </c>
      <c r="I20" s="7">
        <v>472701.59868020692</v>
      </c>
      <c r="J20" s="7">
        <v>474237.25539954851</v>
      </c>
      <c r="K20" s="7">
        <v>475690.0014199306</v>
      </c>
      <c r="L20" s="7">
        <v>484336.5</v>
      </c>
    </row>
    <row r="21" spans="2:12" ht="14.4" x14ac:dyDescent="0.3">
      <c r="B21" s="2" t="s">
        <v>104</v>
      </c>
      <c r="C21" s="7">
        <v>2002535.31905988</v>
      </c>
      <c r="D21" s="7">
        <v>2157290.7676388766</v>
      </c>
      <c r="E21" s="7">
        <v>2287164.716138362</v>
      </c>
      <c r="F21" s="7">
        <v>2262899.2119782474</v>
      </c>
      <c r="G21" s="7">
        <v>2266544.7050577002</v>
      </c>
      <c r="H21" s="7">
        <v>2405544.7458116394</v>
      </c>
      <c r="I21" s="7">
        <v>2360640.9753057212</v>
      </c>
      <c r="J21" s="7">
        <v>2310545.7107763733</v>
      </c>
      <c r="K21" s="7">
        <v>2257471.3479455109</v>
      </c>
      <c r="L21" s="7">
        <v>2151384.0499999998</v>
      </c>
    </row>
    <row r="22" spans="2:12" ht="15.75" customHeight="1" x14ac:dyDescent="0.3"/>
    <row r="23" spans="2:12" ht="15.75" customHeight="1" x14ac:dyDescent="0.3"/>
    <row r="24" spans="2:12" ht="15.75" customHeight="1" x14ac:dyDescent="0.3"/>
    <row r="25" spans="2:12" ht="15.75" customHeight="1" x14ac:dyDescent="0.3"/>
    <row r="26" spans="2:12" ht="15.75" customHeight="1" x14ac:dyDescent="0.3"/>
    <row r="27" spans="2:12" ht="15.75" customHeight="1" x14ac:dyDescent="0.3"/>
    <row r="28" spans="2:12" ht="15.75" customHeight="1" x14ac:dyDescent="0.3"/>
    <row r="29" spans="2:12" ht="15.75" customHeight="1" x14ac:dyDescent="0.3"/>
    <row r="30" spans="2:12" ht="15.75" customHeight="1" x14ac:dyDescent="0.3"/>
    <row r="31" spans="2:12" ht="15.75" customHeight="1" x14ac:dyDescent="0.3"/>
    <row r="32" spans="2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000"/>
  <sheetViews>
    <sheetView workbookViewId="0"/>
  </sheetViews>
  <sheetFormatPr defaultColWidth="12.6640625" defaultRowHeight="15" customHeight="1" x14ac:dyDescent="0.3"/>
  <cols>
    <col min="1" max="1" width="14" customWidth="1"/>
    <col min="2" max="2" width="42.77734375" customWidth="1"/>
    <col min="3" max="7" width="12.77734375" customWidth="1"/>
    <col min="8" max="8" width="9.109375" customWidth="1"/>
    <col min="9" max="26" width="14.33203125" customWidth="1"/>
  </cols>
  <sheetData>
    <row r="2" spans="1:8" ht="14.4" x14ac:dyDescent="0.3">
      <c r="A2" s="2" t="s">
        <v>84</v>
      </c>
      <c r="B2" s="2" t="s">
        <v>85</v>
      </c>
      <c r="C2" s="2" t="s">
        <v>105</v>
      </c>
      <c r="D2" s="2" t="s">
        <v>106</v>
      </c>
      <c r="E2" s="2" t="s">
        <v>107</v>
      </c>
      <c r="F2" s="2" t="s">
        <v>108</v>
      </c>
      <c r="G2" s="2" t="s">
        <v>109</v>
      </c>
      <c r="H2" s="11" t="s">
        <v>108</v>
      </c>
    </row>
    <row r="3" spans="1:8" ht="14.4" x14ac:dyDescent="0.3">
      <c r="A3" s="2" t="s">
        <v>86</v>
      </c>
      <c r="B3" s="2" t="s">
        <v>86</v>
      </c>
      <c r="C3" s="6">
        <v>17544147.739999998</v>
      </c>
      <c r="D3" s="6">
        <v>17958583.710000001</v>
      </c>
      <c r="E3" s="6">
        <v>18348175.940000001</v>
      </c>
      <c r="F3" s="6">
        <v>18738414.420000002</v>
      </c>
      <c r="G3" s="6">
        <v>19091072.82</v>
      </c>
    </row>
    <row r="4" spans="1:8" ht="14.4" x14ac:dyDescent="0.3">
      <c r="A4" s="2" t="s">
        <v>87</v>
      </c>
      <c r="B4" s="2" t="s">
        <v>88</v>
      </c>
      <c r="C4" s="6">
        <v>6092477.0999999996</v>
      </c>
      <c r="D4" s="6">
        <v>6362630.7699999996</v>
      </c>
      <c r="E4" s="6">
        <v>5819391.2300000004</v>
      </c>
      <c r="F4" s="6">
        <v>5366193.41</v>
      </c>
      <c r="G4" s="6">
        <v>4391424.72</v>
      </c>
    </row>
    <row r="5" spans="1:8" ht="14.4" x14ac:dyDescent="0.3">
      <c r="B5" s="2" t="s">
        <v>87</v>
      </c>
      <c r="C5" s="6">
        <v>6420590.2800000003</v>
      </c>
      <c r="D5" s="6">
        <v>6469831.8799999999</v>
      </c>
      <c r="E5" s="6">
        <v>6291592.1299999999</v>
      </c>
      <c r="F5" s="6">
        <v>6502257.5999999996</v>
      </c>
      <c r="G5" s="6">
        <v>6661391.8399999999</v>
      </c>
    </row>
    <row r="6" spans="1:8" ht="14.4" x14ac:dyDescent="0.3">
      <c r="B6" s="2" t="s">
        <v>89</v>
      </c>
      <c r="C6" s="6">
        <v>289292.3</v>
      </c>
      <c r="D6" s="6">
        <v>275231.59000000003</v>
      </c>
      <c r="E6" s="6">
        <v>267245.90999999997</v>
      </c>
      <c r="F6" s="6">
        <v>340923.42</v>
      </c>
      <c r="G6" s="6">
        <v>333391.7</v>
      </c>
    </row>
    <row r="7" spans="1:8" ht="14.4" x14ac:dyDescent="0.3">
      <c r="B7" s="2" t="s">
        <v>90</v>
      </c>
      <c r="C7" s="6">
        <v>115780.1</v>
      </c>
      <c r="D7" s="6">
        <v>122112.04</v>
      </c>
      <c r="E7" s="6">
        <v>126769.71</v>
      </c>
      <c r="F7" s="6">
        <v>150013.06</v>
      </c>
      <c r="G7" s="6">
        <v>170449.89</v>
      </c>
    </row>
    <row r="8" spans="1:8" ht="14.4" x14ac:dyDescent="0.3">
      <c r="B8" s="2" t="s">
        <v>91</v>
      </c>
      <c r="C8" s="6">
        <v>2605287.77</v>
      </c>
      <c r="D8" s="6">
        <v>2652540.16</v>
      </c>
      <c r="E8" s="6">
        <v>2448716.21</v>
      </c>
      <c r="F8" s="6">
        <v>2524386.15</v>
      </c>
      <c r="G8" s="6">
        <v>2638925.0499999998</v>
      </c>
    </row>
    <row r="9" spans="1:8" ht="14.4" x14ac:dyDescent="0.3">
      <c r="A9" s="2" t="s">
        <v>92</v>
      </c>
      <c r="B9" s="2" t="s">
        <v>93</v>
      </c>
      <c r="C9" s="6">
        <v>11473791</v>
      </c>
      <c r="D9" s="6">
        <v>11430547.07</v>
      </c>
      <c r="E9" s="6">
        <v>10459701.18</v>
      </c>
      <c r="F9" s="6">
        <v>11360895.609999999</v>
      </c>
      <c r="G9" s="6">
        <v>11943701.02</v>
      </c>
    </row>
    <row r="10" spans="1:8" ht="14.4" x14ac:dyDescent="0.3">
      <c r="B10" s="2" t="s">
        <v>94</v>
      </c>
      <c r="C10" s="6">
        <v>620190.65</v>
      </c>
      <c r="D10" s="6">
        <v>637858.77</v>
      </c>
      <c r="E10" s="6">
        <v>524627.4</v>
      </c>
      <c r="F10" s="6">
        <v>522280.67</v>
      </c>
      <c r="G10" s="6">
        <v>544307.99</v>
      </c>
    </row>
    <row r="11" spans="1:8" ht="14.4" x14ac:dyDescent="0.3">
      <c r="B11" s="2" t="s">
        <v>95</v>
      </c>
      <c r="C11" s="6">
        <v>956641.32</v>
      </c>
      <c r="D11" s="6">
        <v>1059271.3899999999</v>
      </c>
      <c r="E11" s="6">
        <v>823465.04</v>
      </c>
      <c r="F11" s="6">
        <v>957297.43</v>
      </c>
      <c r="G11" s="6">
        <v>1102814.92</v>
      </c>
    </row>
    <row r="12" spans="1:8" ht="14.4" x14ac:dyDescent="0.3">
      <c r="B12" s="2" t="s">
        <v>96</v>
      </c>
      <c r="C12" s="6">
        <v>8527659.3300000001</v>
      </c>
      <c r="D12" s="6">
        <v>9309924.8499999996</v>
      </c>
      <c r="E12" s="6">
        <v>10537144.83</v>
      </c>
      <c r="F12" s="6">
        <v>11227068.75</v>
      </c>
      <c r="G12" s="6">
        <v>12323041.869999999</v>
      </c>
    </row>
    <row r="13" spans="1:8" ht="14.4" x14ac:dyDescent="0.3">
      <c r="B13" s="2" t="s">
        <v>97</v>
      </c>
      <c r="C13" s="6">
        <v>156484.01999999999</v>
      </c>
      <c r="D13" s="6">
        <v>162935.03</v>
      </c>
      <c r="E13" s="6">
        <v>158041.01999999999</v>
      </c>
      <c r="F13" s="6">
        <v>160767.06</v>
      </c>
      <c r="G13" s="6">
        <v>167664.1</v>
      </c>
    </row>
    <row r="14" spans="1:8" ht="14.4" x14ac:dyDescent="0.3">
      <c r="B14" s="2" t="s">
        <v>98</v>
      </c>
      <c r="C14" s="6">
        <v>2094676.55</v>
      </c>
      <c r="D14" s="6">
        <v>2148388.5299999998</v>
      </c>
      <c r="E14" s="6">
        <v>2349683.5299999998</v>
      </c>
      <c r="F14" s="6">
        <v>2586283.7400000002</v>
      </c>
      <c r="G14" s="6">
        <v>3009349.52</v>
      </c>
    </row>
    <row r="15" spans="1:8" ht="14.4" x14ac:dyDescent="0.3">
      <c r="B15" s="2" t="s">
        <v>99</v>
      </c>
      <c r="C15" s="6">
        <v>4471861.75</v>
      </c>
      <c r="D15" s="6">
        <v>4366350.5999999996</v>
      </c>
      <c r="E15" s="6">
        <v>3963589.18</v>
      </c>
      <c r="F15" s="6">
        <v>4053083.2</v>
      </c>
      <c r="G15" s="6">
        <v>4213070.41</v>
      </c>
    </row>
    <row r="16" spans="1:8" ht="14.4" x14ac:dyDescent="0.3">
      <c r="B16" s="2" t="s">
        <v>100</v>
      </c>
      <c r="C16" s="6">
        <v>2544135.6800000002</v>
      </c>
      <c r="D16" s="6">
        <v>2547296.25</v>
      </c>
      <c r="E16" s="6">
        <v>2345583.6800000002</v>
      </c>
      <c r="F16" s="6">
        <v>2346816.8199999998</v>
      </c>
      <c r="G16" s="6">
        <v>2400315.1</v>
      </c>
    </row>
    <row r="17" spans="2:7" ht="14.4" x14ac:dyDescent="0.3">
      <c r="B17" s="2" t="s">
        <v>101</v>
      </c>
      <c r="C17" s="6">
        <v>14440.88</v>
      </c>
      <c r="D17" s="6">
        <v>14723.69</v>
      </c>
      <c r="E17" s="6">
        <v>14318.78</v>
      </c>
      <c r="F17" s="6">
        <v>14686.08</v>
      </c>
      <c r="G17" s="6">
        <v>15150.11</v>
      </c>
    </row>
    <row r="18" spans="2:7" ht="14.4" x14ac:dyDescent="0.3">
      <c r="B18" s="2" t="s">
        <v>102</v>
      </c>
      <c r="C18" s="6">
        <v>1531581.82</v>
      </c>
      <c r="D18" s="6">
        <v>1470220.39</v>
      </c>
      <c r="E18" s="6">
        <v>1471655.75</v>
      </c>
      <c r="F18" s="6">
        <v>1467225.18</v>
      </c>
      <c r="G18" s="6">
        <v>1495125.56</v>
      </c>
    </row>
    <row r="19" spans="2:7" ht="14.4" x14ac:dyDescent="0.3">
      <c r="B19" s="2" t="s">
        <v>25</v>
      </c>
      <c r="C19" s="6">
        <v>1507561.07</v>
      </c>
      <c r="D19" s="6">
        <v>1519660.44</v>
      </c>
      <c r="E19" s="6">
        <v>1313388.73</v>
      </c>
      <c r="F19" s="6">
        <v>1303548.3600000001</v>
      </c>
      <c r="G19" s="6">
        <v>1321112.82</v>
      </c>
    </row>
    <row r="20" spans="2:7" ht="14.4" x14ac:dyDescent="0.3">
      <c r="B20" s="2" t="s">
        <v>103</v>
      </c>
      <c r="C20" s="6">
        <v>472701.6</v>
      </c>
      <c r="D20" s="6">
        <v>474174.77</v>
      </c>
      <c r="E20" s="6">
        <v>484736.89</v>
      </c>
      <c r="F20" s="6">
        <v>508633.28</v>
      </c>
      <c r="G20" s="6">
        <v>529994.80000000005</v>
      </c>
    </row>
    <row r="21" spans="2:7" ht="15.75" customHeight="1" x14ac:dyDescent="0.3">
      <c r="B21" s="2" t="s">
        <v>104</v>
      </c>
      <c r="C21" s="6">
        <v>2360640.98</v>
      </c>
      <c r="D21" s="6">
        <v>2405544.75</v>
      </c>
      <c r="E21" s="6">
        <v>2266544.71</v>
      </c>
      <c r="F21" s="6">
        <v>2262899.21</v>
      </c>
      <c r="G21" s="6">
        <v>2287164.7200000002</v>
      </c>
    </row>
    <row r="22" spans="2:7" ht="15.75" customHeight="1" x14ac:dyDescent="0.3"/>
    <row r="23" spans="2:7" ht="15.75" customHeight="1" x14ac:dyDescent="0.3"/>
    <row r="24" spans="2:7" ht="15.75" customHeight="1" x14ac:dyDescent="0.3"/>
    <row r="25" spans="2:7" ht="15.75" customHeight="1" x14ac:dyDescent="0.3"/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/>
  </sheetViews>
  <sheetFormatPr defaultColWidth="12.6640625" defaultRowHeight="15" customHeight="1" x14ac:dyDescent="0.3"/>
  <cols>
    <col min="1" max="1" width="34.21875" customWidth="1"/>
    <col min="2" max="2" width="19.109375" customWidth="1"/>
    <col min="3" max="3" width="15.6640625" customWidth="1"/>
    <col min="4" max="4" width="18" customWidth="1"/>
    <col min="5" max="5" width="19.6640625" customWidth="1"/>
    <col min="6" max="6" width="14.77734375" customWidth="1"/>
    <col min="7" max="7" width="17.77734375" customWidth="1"/>
    <col min="8" max="8" width="12.21875" customWidth="1"/>
    <col min="9" max="9" width="14.109375" customWidth="1"/>
    <col min="10" max="10" width="15.109375" customWidth="1"/>
    <col min="11" max="11" width="13.88671875" customWidth="1"/>
    <col min="12" max="12" width="48.77734375" customWidth="1"/>
    <col min="13" max="13" width="14" customWidth="1"/>
    <col min="14" max="14" width="48.77734375" customWidth="1"/>
    <col min="15" max="26" width="14.33203125" customWidth="1"/>
  </cols>
  <sheetData>
    <row r="1" spans="1:14" ht="14.4" x14ac:dyDescent="0.3">
      <c r="B1" s="1" t="s">
        <v>110</v>
      </c>
      <c r="C1" s="1" t="s">
        <v>110</v>
      </c>
      <c r="D1" s="1" t="s">
        <v>110</v>
      </c>
      <c r="E1" s="1" t="s">
        <v>110</v>
      </c>
      <c r="F1" s="1" t="s">
        <v>110</v>
      </c>
      <c r="G1" s="1" t="s">
        <v>110</v>
      </c>
      <c r="H1" s="1" t="s">
        <v>110</v>
      </c>
      <c r="I1" s="1" t="s">
        <v>110</v>
      </c>
      <c r="J1" s="1" t="s">
        <v>110</v>
      </c>
      <c r="K1" s="1" t="s">
        <v>110</v>
      </c>
    </row>
    <row r="2" spans="1:14" ht="14.4" x14ac:dyDescent="0.3">
      <c r="A2" s="2" t="s">
        <v>111</v>
      </c>
      <c r="B2" s="2">
        <v>2024</v>
      </c>
      <c r="C2" s="2">
        <v>2023</v>
      </c>
      <c r="D2" s="2">
        <v>2022</v>
      </c>
      <c r="E2" s="2">
        <v>2021</v>
      </c>
      <c r="F2" s="2">
        <v>2020</v>
      </c>
      <c r="G2" s="2">
        <v>2019</v>
      </c>
      <c r="H2" s="2">
        <v>2018</v>
      </c>
      <c r="I2" s="12">
        <v>2017</v>
      </c>
      <c r="J2" s="12">
        <v>2016</v>
      </c>
      <c r="K2" s="12">
        <v>2015</v>
      </c>
      <c r="N2" s="13"/>
    </row>
    <row r="3" spans="1:14" ht="14.4" x14ac:dyDescent="0.3">
      <c r="A3" s="2" t="s">
        <v>112</v>
      </c>
      <c r="B3" s="14">
        <v>39957.745999999999</v>
      </c>
      <c r="C3" s="14">
        <v>20646.526999999998</v>
      </c>
      <c r="D3" s="14">
        <v>16230.805</v>
      </c>
      <c r="E3" s="14">
        <v>11538.968000000001</v>
      </c>
      <c r="F3" s="14">
        <v>2942.4679999999998</v>
      </c>
      <c r="G3" s="14">
        <v>5368.348</v>
      </c>
      <c r="H3" s="14">
        <v>8239.9030000000002</v>
      </c>
      <c r="I3" s="14">
        <v>9092.1859999999997</v>
      </c>
      <c r="J3" s="14">
        <v>4962.0720000000001</v>
      </c>
      <c r="K3" s="14">
        <v>2726.0169999999998</v>
      </c>
    </row>
    <row r="4" spans="1:14" ht="14.4" x14ac:dyDescent="0.3">
      <c r="A4" s="2" t="s">
        <v>113</v>
      </c>
      <c r="B4" s="15">
        <v>8773.5349999999999</v>
      </c>
      <c r="C4" s="15">
        <v>9868.2389999999996</v>
      </c>
      <c r="D4" s="15">
        <v>4957.7259999999997</v>
      </c>
      <c r="E4" s="15">
        <v>1440.1849999999999</v>
      </c>
      <c r="F4" s="15">
        <v>1972.3219999999999</v>
      </c>
      <c r="G4" s="15">
        <v>1972.3219999999999</v>
      </c>
      <c r="H4" s="15">
        <v>1796.0419999999999</v>
      </c>
      <c r="I4" s="15">
        <v>1578.5070000000001</v>
      </c>
      <c r="J4" s="15">
        <v>2837.884</v>
      </c>
      <c r="K4" s="15">
        <v>2307.558</v>
      </c>
    </row>
    <row r="5" spans="1:14" ht="14.4" x14ac:dyDescent="0.3">
      <c r="A5" s="2" t="s">
        <v>114</v>
      </c>
      <c r="B5" s="15">
        <v>-164595.022</v>
      </c>
      <c r="C5" s="15">
        <v>-79473.781000000003</v>
      </c>
      <c r="D5" s="15">
        <v>48965.487999999998</v>
      </c>
      <c r="E5" s="15">
        <v>40037.277000000002</v>
      </c>
      <c r="F5" s="15">
        <v>39212.025000000001</v>
      </c>
      <c r="G5" s="15">
        <v>45.683112999999999</v>
      </c>
      <c r="H5" s="15">
        <v>43.008026000000001</v>
      </c>
      <c r="I5" s="15">
        <v>33.723730000000003</v>
      </c>
      <c r="J5" s="15">
        <v>7.9249679999999998</v>
      </c>
      <c r="K5" s="15">
        <v>23.736776999999996</v>
      </c>
    </row>
    <row r="6" spans="1:14" ht="14.4" x14ac:dyDescent="0.3">
      <c r="A6" s="2" t="s">
        <v>115</v>
      </c>
      <c r="B6" s="15">
        <v>144792</v>
      </c>
      <c r="C6" s="15">
        <v>123872</v>
      </c>
      <c r="D6" s="15">
        <v>104706</v>
      </c>
      <c r="E6" s="15">
        <v>117176</v>
      </c>
      <c r="F6" s="15">
        <v>-85322</v>
      </c>
      <c r="G6" s="15">
        <v>17652</v>
      </c>
      <c r="H6" s="15">
        <v>-65199</v>
      </c>
      <c r="I6" s="15">
        <v>-45002</v>
      </c>
      <c r="J6" s="15">
        <v>-16151</v>
      </c>
      <c r="K6" s="15">
        <v>-19897</v>
      </c>
      <c r="M6" s="14"/>
    </row>
    <row r="7" spans="1:14" ht="14.4" x14ac:dyDescent="0.3">
      <c r="A7" s="2" t="s">
        <v>116</v>
      </c>
      <c r="B7" s="14">
        <v>503247</v>
      </c>
      <c r="C7" s="14">
        <v>455583</v>
      </c>
      <c r="D7" s="14">
        <v>382311</v>
      </c>
      <c r="E7" s="14">
        <v>364439</v>
      </c>
      <c r="F7" s="14">
        <v>276068</v>
      </c>
      <c r="G7" s="15">
        <v>200521</v>
      </c>
      <c r="H7" s="15">
        <v>390325</v>
      </c>
      <c r="I7" s="15">
        <v>204248</v>
      </c>
      <c r="J7" s="15">
        <v>142858</v>
      </c>
      <c r="K7" s="15">
        <v>153272</v>
      </c>
      <c r="M7" s="14"/>
    </row>
    <row r="8" spans="1:14" ht="14.4" x14ac:dyDescent="0.3">
      <c r="A8" s="2" t="s">
        <v>117</v>
      </c>
      <c r="B8" s="14">
        <v>936158</v>
      </c>
      <c r="C8" s="14">
        <v>595601</v>
      </c>
      <c r="D8" s="14">
        <v>234593</v>
      </c>
      <c r="E8" s="14">
        <v>233133</v>
      </c>
      <c r="F8" s="14">
        <v>197852</v>
      </c>
      <c r="G8" s="15">
        <v>208843</v>
      </c>
      <c r="H8" s="15">
        <v>193424</v>
      </c>
      <c r="I8" s="15">
        <v>173791</v>
      </c>
      <c r="J8" s="15">
        <v>124252</v>
      </c>
      <c r="K8" s="15">
        <v>105663</v>
      </c>
      <c r="M8" s="14"/>
    </row>
    <row r="9" spans="1:14" ht="14.4" x14ac:dyDescent="0.3">
      <c r="A9" s="2" t="s">
        <v>118</v>
      </c>
      <c r="B9" s="14">
        <v>-400435</v>
      </c>
      <c r="C9" s="14">
        <v>-137021</v>
      </c>
      <c r="D9" s="14">
        <v>348727</v>
      </c>
      <c r="E9" s="14">
        <v>298654</v>
      </c>
      <c r="F9" s="14">
        <v>205214</v>
      </c>
      <c r="G9" s="15">
        <v>205310.22899999999</v>
      </c>
      <c r="H9" s="15">
        <v>148630.554</v>
      </c>
      <c r="I9" s="15">
        <v>83512.055999999997</v>
      </c>
      <c r="J9" s="15">
        <v>95888.572</v>
      </c>
      <c r="K9" s="15">
        <v>-80289.903000000006</v>
      </c>
      <c r="M9" s="14"/>
    </row>
    <row r="10" spans="1:14" ht="14.4" x14ac:dyDescent="0.3">
      <c r="M10" s="14"/>
    </row>
    <row r="12" spans="1:14" ht="15" customHeight="1" x14ac:dyDescent="0.3">
      <c r="A12" s="16" t="s">
        <v>119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1000"/>
  <sheetViews>
    <sheetView workbookViewId="0"/>
  </sheetViews>
  <sheetFormatPr defaultColWidth="12.6640625" defaultRowHeight="15" customHeight="1" x14ac:dyDescent="0.3"/>
  <cols>
    <col min="1" max="1" width="33.88671875" customWidth="1"/>
    <col min="2" max="11" width="8.77734375" customWidth="1"/>
    <col min="12" max="26" width="14.33203125" customWidth="1"/>
  </cols>
  <sheetData>
    <row r="2" spans="1:11" ht="14.4" x14ac:dyDescent="0.3">
      <c r="A2" s="2" t="s">
        <v>120</v>
      </c>
      <c r="B2" s="17">
        <v>43435</v>
      </c>
      <c r="C2" s="17">
        <v>43800</v>
      </c>
      <c r="D2" s="17">
        <v>44166</v>
      </c>
      <c r="E2" s="17">
        <v>44531</v>
      </c>
      <c r="F2" s="17">
        <v>44896</v>
      </c>
      <c r="G2" s="3">
        <v>46015</v>
      </c>
      <c r="H2" s="3"/>
    </row>
    <row r="3" spans="1:11" ht="14.4" x14ac:dyDescent="0.3">
      <c r="A3" s="2" t="s">
        <v>121</v>
      </c>
      <c r="B3" s="2">
        <v>274.60000000000002</v>
      </c>
      <c r="C3" s="2">
        <v>307.5</v>
      </c>
      <c r="D3" s="2">
        <v>355.9</v>
      </c>
      <c r="E3" s="2">
        <v>499.4</v>
      </c>
      <c r="F3" s="2">
        <v>499.4</v>
      </c>
    </row>
    <row r="4" spans="1:11" ht="14.4" x14ac:dyDescent="0.3">
      <c r="A4" s="2" t="s">
        <v>122</v>
      </c>
      <c r="B4" s="2">
        <v>256.7</v>
      </c>
      <c r="C4" s="2">
        <v>280.60000000000002</v>
      </c>
      <c r="D4" s="2">
        <v>312.60000000000002</v>
      </c>
      <c r="E4" s="2">
        <v>421.7</v>
      </c>
      <c r="F4" s="2">
        <v>421.7</v>
      </c>
    </row>
    <row r="5" spans="1:11" ht="14.4" x14ac:dyDescent="0.3">
      <c r="A5" s="2" t="s">
        <v>123</v>
      </c>
      <c r="B5" s="2">
        <v>247.8</v>
      </c>
      <c r="C5" s="2">
        <v>272.5</v>
      </c>
      <c r="D5" s="2">
        <v>304.7</v>
      </c>
      <c r="E5" s="2">
        <v>411.9</v>
      </c>
      <c r="F5" s="2">
        <v>411.9</v>
      </c>
      <c r="K5" s="18"/>
    </row>
    <row r="6" spans="1:11" ht="14.4" x14ac:dyDescent="0.3">
      <c r="A6" s="2" t="s">
        <v>14</v>
      </c>
      <c r="B6" s="2">
        <v>287.5</v>
      </c>
      <c r="C6" s="2">
        <v>333.6</v>
      </c>
      <c r="D6" s="2">
        <v>389.1</v>
      </c>
      <c r="E6" s="2">
        <v>540.29999999999995</v>
      </c>
      <c r="F6" s="2">
        <v>540.29999999999995</v>
      </c>
    </row>
    <row r="7" spans="1:11" ht="14.4" x14ac:dyDescent="0.3">
      <c r="A7" s="2" t="s">
        <v>15</v>
      </c>
      <c r="B7" s="2">
        <v>296.39999999999998</v>
      </c>
      <c r="C7" s="2">
        <v>339.9</v>
      </c>
      <c r="D7" s="2">
        <v>406.4</v>
      </c>
      <c r="E7" s="2">
        <v>590.20000000000005</v>
      </c>
      <c r="F7" s="2">
        <v>590.20000000000005</v>
      </c>
    </row>
    <row r="8" spans="1:11" ht="14.4" x14ac:dyDescent="0.3">
      <c r="A8" s="2" t="s">
        <v>124</v>
      </c>
      <c r="B8" s="2">
        <v>294.89999999999998</v>
      </c>
      <c r="C8" s="2">
        <v>337.9</v>
      </c>
      <c r="D8" s="2">
        <v>403.6</v>
      </c>
      <c r="E8" s="2">
        <v>585.6</v>
      </c>
      <c r="F8" s="2">
        <v>585.6</v>
      </c>
    </row>
    <row r="9" spans="1:11" ht="14.4" x14ac:dyDescent="0.3">
      <c r="A9" s="2" t="s">
        <v>125</v>
      </c>
      <c r="B9" s="2">
        <v>216.9</v>
      </c>
      <c r="C9" s="2">
        <v>238.2</v>
      </c>
      <c r="D9" s="2">
        <v>265</v>
      </c>
      <c r="E9" s="2">
        <v>355.8</v>
      </c>
      <c r="F9" s="2">
        <v>355.8</v>
      </c>
    </row>
    <row r="10" spans="1:11" ht="14.4" x14ac:dyDescent="0.3">
      <c r="A10" s="2" t="s">
        <v>126</v>
      </c>
      <c r="B10" s="2">
        <v>264.10000000000002</v>
      </c>
      <c r="C10" s="2">
        <v>290.3</v>
      </c>
      <c r="D10" s="2">
        <v>324.39999999999998</v>
      </c>
      <c r="E10" s="2">
        <v>438.9</v>
      </c>
      <c r="F10" s="2">
        <v>438.9</v>
      </c>
      <c r="I10" s="18"/>
    </row>
    <row r="11" spans="1:11" ht="14.4" x14ac:dyDescent="0.3">
      <c r="A11" s="2" t="s">
        <v>127</v>
      </c>
      <c r="B11" s="2">
        <v>273.3</v>
      </c>
      <c r="C11" s="2">
        <v>294.39999999999998</v>
      </c>
      <c r="D11" s="2">
        <v>321.10000000000002</v>
      </c>
      <c r="E11" s="2">
        <v>419.2</v>
      </c>
      <c r="F11" s="2">
        <v>419.2</v>
      </c>
    </row>
    <row r="12" spans="1:11" ht="14.4" x14ac:dyDescent="0.3">
      <c r="A12" s="2" t="s">
        <v>128</v>
      </c>
      <c r="B12" s="2">
        <v>237.1</v>
      </c>
      <c r="C12" s="2">
        <v>258.7</v>
      </c>
      <c r="D12" s="2">
        <v>287.89999999999998</v>
      </c>
      <c r="E12" s="2">
        <v>385.7</v>
      </c>
      <c r="F12" s="2">
        <v>385.7</v>
      </c>
    </row>
    <row r="13" spans="1:11" ht="14.4" x14ac:dyDescent="0.3">
      <c r="A13" s="2" t="s">
        <v>22</v>
      </c>
      <c r="B13" s="2">
        <v>225.8</v>
      </c>
      <c r="C13" s="2">
        <v>247.4</v>
      </c>
      <c r="D13" s="2">
        <v>282.2</v>
      </c>
      <c r="E13" s="2">
        <v>383.4</v>
      </c>
      <c r="F13" s="2">
        <v>383.4</v>
      </c>
    </row>
    <row r="14" spans="1:11" ht="14.4" x14ac:dyDescent="0.3">
      <c r="A14" s="2" t="s">
        <v>23</v>
      </c>
      <c r="B14" s="2">
        <v>255.4</v>
      </c>
      <c r="C14" s="2">
        <v>279.10000000000002</v>
      </c>
      <c r="D14" s="2">
        <v>315.5</v>
      </c>
      <c r="E14" s="2">
        <v>436.2</v>
      </c>
      <c r="F14" s="2">
        <v>436.2</v>
      </c>
    </row>
    <row r="15" spans="1:11" ht="14.4" x14ac:dyDescent="0.3">
      <c r="A15" s="2" t="s">
        <v>129</v>
      </c>
      <c r="B15" s="2">
        <v>151.4</v>
      </c>
      <c r="C15" s="2">
        <v>163.5</v>
      </c>
      <c r="D15" s="2">
        <v>179.6</v>
      </c>
      <c r="E15" s="2">
        <v>220.7</v>
      </c>
      <c r="F15" s="2">
        <v>220.7</v>
      </c>
    </row>
    <row r="16" spans="1:11" ht="14.4" x14ac:dyDescent="0.3">
      <c r="A16" s="2" t="s">
        <v>25</v>
      </c>
      <c r="B16" s="2">
        <v>196.7</v>
      </c>
      <c r="C16" s="2">
        <v>212.8</v>
      </c>
      <c r="D16" s="2">
        <v>235.8</v>
      </c>
      <c r="E16" s="2">
        <v>309.7</v>
      </c>
      <c r="F16" s="2">
        <v>309.7</v>
      </c>
    </row>
    <row r="17" spans="1:6" ht="14.4" x14ac:dyDescent="0.3">
      <c r="A17" s="2" t="s">
        <v>130</v>
      </c>
      <c r="B17" s="2">
        <v>238.2</v>
      </c>
      <c r="C17" s="2">
        <v>259.2</v>
      </c>
      <c r="D17" s="2">
        <v>286</v>
      </c>
      <c r="E17" s="2">
        <v>382.4</v>
      </c>
      <c r="F17" s="2">
        <v>382.4</v>
      </c>
    </row>
    <row r="21" spans="1:6" ht="15.75" customHeight="1" x14ac:dyDescent="0.3"/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CPI sheet</vt:lpstr>
      <vt:lpstr>GDP (Workings)</vt:lpstr>
      <vt:lpstr>GDP sheet</vt:lpstr>
      <vt:lpstr>GDP</vt:lpstr>
      <vt:lpstr>COMPANY PAT</vt:lpstr>
      <vt:lpstr>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joshuaolubori@gmail.com</cp:lastModifiedBy>
  <dcterms:created xsi:type="dcterms:W3CDTF">2025-12-29T23:37:16Z</dcterms:created>
  <dcterms:modified xsi:type="dcterms:W3CDTF">2025-12-29T23:37:16Z</dcterms:modified>
</cp:coreProperties>
</file>